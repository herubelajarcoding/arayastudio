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ru.ismiraldi\Documents\Dsbr\Baru\"/>
    </mc:Choice>
  </mc:AlternateContent>
  <xr:revisionPtr revIDLastSave="0" documentId="13_ncr:1_{D129965C-72B8-4494-81BC-472FE93F2AA6}" xr6:coauthVersionLast="47" xr6:coauthVersionMax="47" xr10:uidLastSave="{00000000-0000-0000-0000-000000000000}"/>
  <bookViews>
    <workbookView xWindow="-110" yWindow="-110" windowWidth="25820" windowHeight="15500" firstSheet="5" activeTab="6" xr2:uid="{00000000-000D-0000-FFFF-FFFF00000000}"/>
  </bookViews>
  <sheets>
    <sheet name="Setup" sheetId="1" r:id="rId1"/>
    <sheet name="Staff Allocation" sheetId="3" r:id="rId2"/>
    <sheet name="Work Activity" sheetId="4" r:id="rId3"/>
    <sheet name="Meeting Activity" sheetId="5" r:id="rId4"/>
    <sheet name="Other Activities" sheetId="6" r:id="rId5"/>
    <sheet name="Dashboard_Helper" sheetId="15" r:id="rId6"/>
    <sheet name="Weekly Schedule Dashboard" sheetId="12" r:id="rId7"/>
    <sheet name="Project Schedule" sheetId="2" r:id="rId8"/>
    <sheet name="Dashboard_Data" sheetId="14" r:id="rId9"/>
    <sheet name="Studio Dashboard" sheetId="9" r:id="rId10"/>
    <sheet name="Daily Schedule Detail" sheetId="11" r:id="rId11"/>
    <sheet name="Project Gantt Dashboard" sheetId="10" r:id="rId12"/>
  </sheets>
  <functionGroups builtInGroupCount="19"/>
  <definedNames>
    <definedName name="_xlnm._FilterDatabase" localSheetId="2" hidden="1">'Work Activity'!$A$2:$Z$89</definedName>
    <definedName name="_xlpm.data" hidden="1" xlm="1">#NAME?</definedName>
    <definedName name="_xlpm.jumlah" hidden="1" xlm="1">#NAME?</definedName>
    <definedName name="_xlpm.n" hidden="1" xlm="1">#NAME?</definedName>
    <definedName name="_xlpm.p" hidden="1" xlm="1">#NAME?</definedName>
    <definedName name="_xlpm.pid" hidden="1" xlm="1">#NAME?</definedName>
    <definedName name="_xlpm.projectname" hidden="1" xlm="1">#NAME?</definedName>
    <definedName name="_xlpm.projects" hidden="1" xlm="1">#NAME?</definedName>
    <definedName name="_xlpm.tasks" hidden="1" xlm="1">#NAME?</definedName>
    <definedName name="_xlpm.x" hidden="1" xlm="1">#NAME?</definedName>
    <definedName name="DV_ActivityType" localSheetId="6">OFFSET(Setup!$AO$3,0,0,MAX(1,COUNTIF(Setup!$AO$3:$AO$1000,"&lt;&gt;")),1)</definedName>
    <definedName name="DV_ActivityType">OFFSET(Setup!$AO$3,0,0,MAX(1,COUNTIF(Setup!$AO$3:$AO$1000,"&lt;&gt;")),1)</definedName>
    <definedName name="DV_Freelancer" localSheetId="6">OFFSET(Setup!$BJ$3,0,0,MAX(1,COUNTIF(Setup!$BJ$3:$BJ$1000,"&lt;&gt;")),1)</definedName>
    <definedName name="DV_Freelancer">OFFSET(Setup!$BJ$3,0,0,MAX(1,COUNTIF(Setup!$BJ$3:$BJ$1000,"&lt;&gt;")),1)</definedName>
    <definedName name="DV_MappingStatus" localSheetId="6">OFFSET(Setup!$BA$3,0,0,MAX(1,COUNTIF(Setup!$BA$3:$BA$1000,"&lt;&gt;")),1)</definedName>
    <definedName name="DV_MappingStatus">OFFSET(Setup!$BA$3,0,0,MAX(1,COUNTIF(Setup!$BA$3:$BA$1000,"&lt;&gt;")),1)</definedName>
    <definedName name="DV_MeetingLocation" localSheetId="6">OFFSET(Setup!$AL$3,0,0,MAX(1,COUNTIF(Setup!$AL$3:$AL$1000,"&lt;&gt;")),1)</definedName>
    <definedName name="DV_MeetingLocation">OFFSET(Setup!$AL$3,0,0,MAX(1,COUNTIF(Setup!$AL$3:$AL$1000,"&lt;&gt;")),1)</definedName>
    <definedName name="DV_MeetingType" localSheetId="6">OFFSET(Setup!$AI$3,0,0,MAX(1,COUNTIF(Setup!$AI$3:$AI$1000,"&lt;&gt;")),1)</definedName>
    <definedName name="DV_MeetingType">OFFSET(Setup!$AI$3,0,0,MAX(1,COUNTIF(Setup!$AI$3:$AI$1000,"&lt;&gt;")),1)</definedName>
    <definedName name="DV_Month" localSheetId="6">OFFSET(Setup!$BD$3,0,0,MAX(1,COUNTIF(Setup!$BD$3:$BD$1000,"&lt;&gt;")),1)</definedName>
    <definedName name="DV_Month">OFFSET(Setup!$BD$3,0,0,MAX(1,COUNTIF(Setup!$BD$3:$BD$1000,"&lt;&gt;")),1)</definedName>
    <definedName name="DV_Phase" localSheetId="6">OFFSET(Setup!$AB$3,0,0,MAX(1,COUNTIF(Setup!$AB$3:$AB$1000,"&lt;&gt;")),1)</definedName>
    <definedName name="DV_Phase">OFFSET(Setup!$AB$3,0,0,MAX(1,COUNTIF(Setup!$AB$3:$AB$1000,"&lt;&gt;")),1)</definedName>
    <definedName name="DV_Priority" localSheetId="6">OFFSET(Setup!$AR$3,0,0,MAX(1,COUNTIF(Setup!$AR$3:$AR$1000,"&lt;&gt;")),1)</definedName>
    <definedName name="DV_Priority">OFFSET(Setup!$AR$3,0,0,MAX(1,COUNTIF(Setup!$AR$3:$AR$1000,"&lt;&gt;")),1)</definedName>
    <definedName name="DV_ProjectFilter" localSheetId="6">OFFSET('Weekly Schedule Dashboard'!$AA$2,0,0,MAX(1,COUNTIF('Weekly Schedule Dashboard'!$AA$2:$AA$1000,"&lt;&gt;")),1)</definedName>
    <definedName name="DV_ProjectFilter">OFFSET(#REF!,0,0,MAX(1,COUNTIF(#REF!,"&lt;&gt;")),1)</definedName>
    <definedName name="DV_ProjectID" localSheetId="6">OFFSET(Setup!$H$3,0,0,MAX(1,COUNTIF(Setup!$H$3:$H$1000,"&lt;&gt;")),1)</definedName>
    <definedName name="DV_ProjectID">OFFSET(Setup!$H$3,0,0,MAX(1,COUNTIF(Setup!$H$3:$H$1000,"&lt;&gt;")),1)</definedName>
    <definedName name="DV_ProjectSize" localSheetId="6">OFFSET(Setup!$AU$3,0,0,MAX(1,COUNTIF(Setup!$AU$3:$AU$1000,"&lt;&gt;")),1)</definedName>
    <definedName name="DV_ProjectSize">OFFSET(Setup!$AU$3,0,0,MAX(1,COUNTIF(Setup!$AU$3:$AU$1000,"&lt;&gt;")),1)</definedName>
    <definedName name="DV_ProjectStatus" localSheetId="6">OFFSET(Setup!$AF$3,0,0,MAX(1,COUNTIF(Setup!$AF$3:$AF$1000,"&lt;&gt;")),1)</definedName>
    <definedName name="DV_ProjectStatus">OFFSET(Setup!$AF$3,0,0,MAX(1,COUNTIF(Setup!$AF$3:$AF$1000,"&lt;&gt;")),1)</definedName>
    <definedName name="DV_ProjectType" localSheetId="6">OFFSET(Setup!$Y$3,0,0,MAX(1,COUNTIF(Setup!$Y$3:$Y$1000,"&lt;&gt;")),1)</definedName>
    <definedName name="DV_ProjectType">OFFSET(Setup!$Y$3,0,0,MAX(1,COUNTIF(Setup!$Y$3:$Y$1000,"&lt;&gt;")),1)</definedName>
    <definedName name="DV_Role" localSheetId="6">OFFSET(Setup!$V$3,0,0,MAX(1,COUNTIF(Setup!$V$3:$V$1000,"&lt;&gt;")),1)</definedName>
    <definedName name="DV_Role">OFFSET(Setup!$V$3,0,0,MAX(1,COUNTIF(Setup!$V$3:$V$1000,"&lt;&gt;")),1)</definedName>
    <definedName name="DV_Staff" localSheetId="6">OFFSET(Setup!$A$3,0,0,MAX(1,COUNTIF(Setup!$A$3:$A$1000,"&lt;&gt;")),1)</definedName>
    <definedName name="DV_Staff">OFFSET(Setup!$A$3,0,0,MAX(1,COUNTIF(Setup!$A$3:$A$1000,"&lt;&gt;")),1)</definedName>
    <definedName name="DV_TaskStatus" localSheetId="6">OFFSET(Setup!$BG$3,0,0,MAX(1,COUNTIF(Setup!$BG$3:$BG$1000,"&lt;&gt;")),1)</definedName>
    <definedName name="DV_TaskStatus">OFFSET(Setup!$BG$3,0,0,MAX(1,COUNTIF(Setup!$BG$3:$BG$1000,"&lt;&gt;")),1)</definedName>
    <definedName name="DV_WeekFilter" localSheetId="6">OFFSET('Weekly Schedule Dashboard'!$AB$2,0,0,MAX(1,COUNTIF('Weekly Schedule Dashboard'!$AB$2:$AB$1000,"&lt;&gt;")),1)</definedName>
    <definedName name="DV_WeekFilter">OFFSET(#REF!,0,0,MAX(1,COUNTIF(#REF!,"&lt;&gt;")),1)</definedName>
    <definedName name="DV_WorkloadStatus" localSheetId="6">OFFSET(Setup!$AX$3,0,0,MAX(1,COUNTIF(Setup!$AX$3:$AX$1000,"&lt;&gt;")),1)</definedName>
    <definedName name="DV_WorkloadStatus">OFFSET(Setup!$AX$3,0,0,MAX(1,COUNTIF(Setup!$AX$3:$AX$1000,"&lt;&gt;")),1)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6" i="12" l="1" a="1"/>
  <c r="H36" i="12" s="1"/>
  <c r="G36" i="12" a="1"/>
  <c r="G36" i="12" s="1"/>
  <c r="F36" i="12" a="1"/>
  <c r="F36" i="12" s="1"/>
  <c r="E36" i="12" a="1"/>
  <c r="E36" i="12" s="1"/>
  <c r="D36" i="12" a="1"/>
  <c r="D36" i="12" s="1"/>
  <c r="C36" i="12" a="1"/>
  <c r="C36" i="12" s="1"/>
  <c r="H35" i="12" a="1"/>
  <c r="H35" i="12" s="1"/>
  <c r="G35" i="12" a="1"/>
  <c r="G35" i="12" s="1"/>
  <c r="F35" i="12" a="1"/>
  <c r="F35" i="12" s="1"/>
  <c r="E35" i="12" a="1"/>
  <c r="E35" i="12" s="1"/>
  <c r="D35" i="12" a="1"/>
  <c r="D35" i="12" s="1"/>
  <c r="C35" i="12" a="1"/>
  <c r="C35" i="12" s="1"/>
  <c r="H34" i="12" a="1"/>
  <c r="H34" i="12" s="1"/>
  <c r="G34" i="12" a="1"/>
  <c r="G34" i="12" s="1"/>
  <c r="F34" i="12" a="1"/>
  <c r="F34" i="12" s="1"/>
  <c r="E34" i="12" a="1"/>
  <c r="E34" i="12" s="1"/>
  <c r="D34" i="12" a="1"/>
  <c r="D34" i="12" s="1"/>
  <c r="C34" i="12" a="1"/>
  <c r="C34" i="12" s="1"/>
  <c r="H30" i="12" a="1"/>
  <c r="H30" i="12" s="1"/>
  <c r="G30" i="12" a="1"/>
  <c r="G30" i="12" s="1"/>
  <c r="F30" i="12" a="1"/>
  <c r="F30" i="12" s="1"/>
  <c r="E30" i="12" a="1"/>
  <c r="E30" i="12" s="1"/>
  <c r="D30" i="12" a="1"/>
  <c r="D30" i="12" s="1"/>
  <c r="C30" i="12" a="1"/>
  <c r="C30" i="12" s="1"/>
  <c r="H29" i="12" a="1"/>
  <c r="H29" i="12" s="1"/>
  <c r="G29" i="12" a="1"/>
  <c r="G29" i="12" s="1"/>
  <c r="F29" i="12" a="1"/>
  <c r="F29" i="12" s="1"/>
  <c r="E29" i="12" a="1"/>
  <c r="E29" i="12" s="1"/>
  <c r="D29" i="12" a="1"/>
  <c r="D29" i="12" s="1"/>
  <c r="C29" i="12" a="1"/>
  <c r="C29" i="12" s="1"/>
  <c r="H28" i="12" a="1"/>
  <c r="H28" i="12" s="1"/>
  <c r="G28" i="12" a="1"/>
  <c r="G28" i="12" s="1"/>
  <c r="F28" i="12" a="1"/>
  <c r="F28" i="12" s="1"/>
  <c r="E28" i="12" a="1"/>
  <c r="E28" i="12" s="1"/>
  <c r="D28" i="12" a="1"/>
  <c r="D28" i="12" s="1"/>
  <c r="C28" i="12" a="1"/>
  <c r="C28" i="12" s="1"/>
  <c r="H24" i="12" a="1"/>
  <c r="H24" i="12" s="1"/>
  <c r="G24" i="12" a="1"/>
  <c r="G24" i="12" s="1"/>
  <c r="F24" i="12" a="1"/>
  <c r="F24" i="12" s="1"/>
  <c r="E24" i="12" a="1"/>
  <c r="E24" i="12" s="1"/>
  <c r="D24" i="12" a="1"/>
  <c r="D24" i="12" s="1"/>
  <c r="C24" i="12" a="1"/>
  <c r="C24" i="12" s="1"/>
  <c r="H23" i="12" a="1"/>
  <c r="H23" i="12" s="1"/>
  <c r="G23" i="12" a="1"/>
  <c r="G23" i="12" s="1"/>
  <c r="F23" i="12" a="1"/>
  <c r="F23" i="12" s="1"/>
  <c r="E23" i="12" a="1"/>
  <c r="E23" i="12" s="1"/>
  <c r="D23" i="12" a="1"/>
  <c r="D23" i="12" s="1"/>
  <c r="C23" i="12" a="1"/>
  <c r="C23" i="12" s="1"/>
  <c r="H22" i="12" a="1"/>
  <c r="H22" i="12" s="1"/>
  <c r="G22" i="12" a="1"/>
  <c r="G22" i="12" s="1"/>
  <c r="F22" i="12" a="1"/>
  <c r="F22" i="12" s="1"/>
  <c r="E22" i="12" a="1"/>
  <c r="E22" i="12" s="1"/>
  <c r="D22" i="12" a="1"/>
  <c r="D22" i="12" s="1"/>
  <c r="C22" i="12" a="1"/>
  <c r="C22" i="12" s="1"/>
  <c r="H18" i="12" a="1"/>
  <c r="H18" i="12" s="1"/>
  <c r="G18" i="12" a="1"/>
  <c r="G18" i="12" s="1"/>
  <c r="F18" i="12" a="1"/>
  <c r="F18" i="12" s="1"/>
  <c r="E18" i="12" a="1"/>
  <c r="E18" i="12" s="1"/>
  <c r="D18" i="12" a="1"/>
  <c r="D18" i="12" s="1"/>
  <c r="C18" i="12" a="1"/>
  <c r="C18" i="12" s="1"/>
  <c r="H17" i="12" a="1"/>
  <c r="H17" i="12" s="1"/>
  <c r="G17" i="12" a="1"/>
  <c r="G17" i="12" s="1"/>
  <c r="F17" i="12" a="1"/>
  <c r="F17" i="12" s="1"/>
  <c r="E17" i="12" a="1"/>
  <c r="E17" i="12" s="1"/>
  <c r="D17" i="12" a="1"/>
  <c r="D17" i="12" s="1"/>
  <c r="C17" i="12" a="1"/>
  <c r="C17" i="12" s="1"/>
  <c r="H16" i="12" a="1"/>
  <c r="H16" i="12" s="1"/>
  <c r="G16" i="12" a="1"/>
  <c r="G16" i="12" s="1"/>
  <c r="F16" i="12" a="1"/>
  <c r="F16" i="12" s="1"/>
  <c r="E16" i="12" a="1"/>
  <c r="E16" i="12" s="1"/>
  <c r="D16" i="12" a="1"/>
  <c r="D16" i="12" s="1"/>
  <c r="C16" i="12" a="1"/>
  <c r="C16" i="12" s="1"/>
  <c r="O6" i="5"/>
  <c r="M6" i="5"/>
  <c r="L6" i="5"/>
  <c r="E6" i="5"/>
  <c r="B7" i="4"/>
  <c r="B6" i="4"/>
  <c r="B5" i="4"/>
  <c r="B9" i="4"/>
  <c r="AA8" i="12"/>
  <c r="AA7" i="12"/>
  <c r="AA6" i="12"/>
  <c r="AA5" i="12"/>
  <c r="AA4" i="12"/>
  <c r="AA3" i="12"/>
  <c r="AD3" i="12"/>
  <c r="AD6" i="12" s="1"/>
  <c r="AD2" i="12"/>
  <c r="B12" i="4"/>
  <c r="E5" i="5"/>
  <c r="A8" i="11"/>
  <c r="B8" i="11" s="1"/>
  <c r="A7" i="11"/>
  <c r="B7" i="11" s="1"/>
  <c r="A6" i="11"/>
  <c r="B6" i="11" s="1"/>
  <c r="A5" i="11"/>
  <c r="B5" i="11" s="1"/>
  <c r="A4" i="11"/>
  <c r="B4" i="11" s="1"/>
  <c r="A3" i="11"/>
  <c r="B3" i="11" s="1"/>
  <c r="A2" i="11"/>
  <c r="B2" i="11" s="1"/>
  <c r="D21" i="9"/>
  <c r="C21" i="9"/>
  <c r="B21" i="9"/>
  <c r="A21" i="9"/>
  <c r="D20" i="9"/>
  <c r="C20" i="9"/>
  <c r="B20" i="9"/>
  <c r="A20" i="9"/>
  <c r="D19" i="9"/>
  <c r="C19" i="9"/>
  <c r="B19" i="9"/>
  <c r="A19" i="9"/>
  <c r="C18" i="9"/>
  <c r="B18" i="9"/>
  <c r="A18" i="9"/>
  <c r="I13" i="9"/>
  <c r="H13" i="9"/>
  <c r="G13" i="9"/>
  <c r="F13" i="9"/>
  <c r="E13" i="9"/>
  <c r="D13" i="9"/>
  <c r="C13" i="9"/>
  <c r="B13" i="9"/>
  <c r="A13" i="9"/>
  <c r="I12" i="9"/>
  <c r="H12" i="9"/>
  <c r="G12" i="9"/>
  <c r="F12" i="9"/>
  <c r="E12" i="9"/>
  <c r="D12" i="9"/>
  <c r="C12" i="9"/>
  <c r="B12" i="9"/>
  <c r="A12" i="9"/>
  <c r="I11" i="9"/>
  <c r="H11" i="9"/>
  <c r="G11" i="9"/>
  <c r="F11" i="9"/>
  <c r="E11" i="9"/>
  <c r="D11" i="9"/>
  <c r="C11" i="9"/>
  <c r="B11" i="9"/>
  <c r="A11" i="9"/>
  <c r="I10" i="9"/>
  <c r="H10" i="9"/>
  <c r="G10" i="9"/>
  <c r="F10" i="9"/>
  <c r="E10" i="9"/>
  <c r="D10" i="9"/>
  <c r="C10" i="9"/>
  <c r="B10" i="9"/>
  <c r="I9" i="9"/>
  <c r="H9" i="9"/>
  <c r="G9" i="9"/>
  <c r="F9" i="9"/>
  <c r="E9" i="9"/>
  <c r="D9" i="9"/>
  <c r="C9" i="9"/>
  <c r="B9" i="9"/>
  <c r="I8" i="9"/>
  <c r="H8" i="9"/>
  <c r="G8" i="9"/>
  <c r="F8" i="9"/>
  <c r="E8" i="9"/>
  <c r="D8" i="9"/>
  <c r="C8" i="9"/>
  <c r="B8" i="9"/>
  <c r="I7" i="9"/>
  <c r="H7" i="9"/>
  <c r="G7" i="9"/>
  <c r="F7" i="9"/>
  <c r="E7" i="9"/>
  <c r="D7" i="9"/>
  <c r="C7" i="9"/>
  <c r="B7" i="9"/>
  <c r="I6" i="9"/>
  <c r="H6" i="9"/>
  <c r="G6" i="9"/>
  <c r="F6" i="9"/>
  <c r="E6" i="9"/>
  <c r="D6" i="9"/>
  <c r="C6" i="9"/>
  <c r="B6" i="9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O62" i="5"/>
  <c r="M62" i="5"/>
  <c r="L62" i="5"/>
  <c r="E62" i="5"/>
  <c r="O61" i="5"/>
  <c r="M61" i="5"/>
  <c r="L61" i="5"/>
  <c r="E61" i="5"/>
  <c r="O60" i="5"/>
  <c r="M60" i="5"/>
  <c r="L60" i="5"/>
  <c r="E60" i="5"/>
  <c r="O59" i="5"/>
  <c r="M59" i="5"/>
  <c r="L59" i="5"/>
  <c r="E59" i="5"/>
  <c r="O58" i="5"/>
  <c r="M58" i="5"/>
  <c r="L58" i="5"/>
  <c r="E58" i="5"/>
  <c r="O57" i="5"/>
  <c r="M57" i="5"/>
  <c r="L57" i="5"/>
  <c r="E57" i="5"/>
  <c r="O56" i="5"/>
  <c r="M56" i="5"/>
  <c r="L56" i="5"/>
  <c r="E56" i="5"/>
  <c r="O55" i="5"/>
  <c r="M55" i="5"/>
  <c r="L55" i="5"/>
  <c r="E55" i="5"/>
  <c r="O54" i="5"/>
  <c r="M54" i="5"/>
  <c r="L54" i="5"/>
  <c r="E54" i="5"/>
  <c r="O53" i="5"/>
  <c r="M53" i="5"/>
  <c r="L53" i="5"/>
  <c r="E53" i="5"/>
  <c r="O52" i="5"/>
  <c r="M52" i="5"/>
  <c r="L52" i="5"/>
  <c r="E52" i="5"/>
  <c r="O51" i="5"/>
  <c r="M51" i="5"/>
  <c r="L51" i="5"/>
  <c r="E51" i="5"/>
  <c r="O50" i="5"/>
  <c r="M50" i="5"/>
  <c r="L50" i="5"/>
  <c r="E50" i="5"/>
  <c r="O49" i="5"/>
  <c r="M49" i="5"/>
  <c r="L49" i="5"/>
  <c r="E49" i="5"/>
  <c r="O48" i="5"/>
  <c r="M48" i="5"/>
  <c r="L48" i="5"/>
  <c r="E48" i="5"/>
  <c r="O47" i="5"/>
  <c r="M47" i="5"/>
  <c r="L47" i="5"/>
  <c r="E47" i="5"/>
  <c r="O46" i="5"/>
  <c r="M46" i="5"/>
  <c r="L46" i="5"/>
  <c r="E46" i="5"/>
  <c r="O45" i="5"/>
  <c r="M45" i="5"/>
  <c r="L45" i="5"/>
  <c r="E45" i="5"/>
  <c r="O44" i="5"/>
  <c r="M44" i="5"/>
  <c r="L44" i="5"/>
  <c r="E44" i="5"/>
  <c r="O43" i="5"/>
  <c r="M43" i="5"/>
  <c r="L43" i="5"/>
  <c r="E43" i="5"/>
  <c r="O42" i="5"/>
  <c r="M42" i="5"/>
  <c r="L42" i="5"/>
  <c r="E42" i="5"/>
  <c r="O41" i="5"/>
  <c r="M41" i="5"/>
  <c r="L41" i="5"/>
  <c r="E41" i="5"/>
  <c r="O40" i="5"/>
  <c r="M40" i="5"/>
  <c r="L40" i="5"/>
  <c r="E40" i="5"/>
  <c r="O39" i="5"/>
  <c r="M39" i="5"/>
  <c r="L39" i="5"/>
  <c r="E39" i="5"/>
  <c r="O38" i="5"/>
  <c r="M38" i="5"/>
  <c r="L38" i="5"/>
  <c r="E38" i="5"/>
  <c r="O37" i="5"/>
  <c r="M37" i="5"/>
  <c r="L37" i="5"/>
  <c r="E37" i="5"/>
  <c r="O36" i="5"/>
  <c r="M36" i="5"/>
  <c r="L36" i="5"/>
  <c r="E36" i="5"/>
  <c r="O35" i="5"/>
  <c r="M35" i="5"/>
  <c r="L35" i="5"/>
  <c r="E35" i="5"/>
  <c r="O34" i="5"/>
  <c r="M34" i="5"/>
  <c r="L34" i="5"/>
  <c r="E34" i="5"/>
  <c r="O33" i="5"/>
  <c r="M33" i="5"/>
  <c r="L33" i="5"/>
  <c r="E33" i="5"/>
  <c r="O32" i="5"/>
  <c r="M32" i="5"/>
  <c r="L32" i="5"/>
  <c r="E32" i="5"/>
  <c r="O31" i="5"/>
  <c r="M31" i="5"/>
  <c r="L31" i="5"/>
  <c r="E31" i="5"/>
  <c r="O30" i="5"/>
  <c r="M30" i="5"/>
  <c r="L30" i="5"/>
  <c r="E30" i="5"/>
  <c r="O29" i="5"/>
  <c r="M29" i="5"/>
  <c r="L29" i="5"/>
  <c r="E29" i="5"/>
  <c r="O28" i="5"/>
  <c r="M28" i="5"/>
  <c r="L28" i="5"/>
  <c r="E28" i="5"/>
  <c r="O27" i="5"/>
  <c r="M27" i="5"/>
  <c r="L27" i="5"/>
  <c r="E27" i="5"/>
  <c r="O26" i="5"/>
  <c r="M26" i="5"/>
  <c r="L26" i="5"/>
  <c r="E26" i="5"/>
  <c r="O25" i="5"/>
  <c r="M25" i="5"/>
  <c r="L25" i="5"/>
  <c r="E25" i="5"/>
  <c r="O24" i="5"/>
  <c r="M24" i="5"/>
  <c r="L24" i="5"/>
  <c r="E24" i="5"/>
  <c r="O23" i="5"/>
  <c r="M23" i="5"/>
  <c r="L23" i="5"/>
  <c r="E23" i="5"/>
  <c r="O22" i="5"/>
  <c r="M22" i="5"/>
  <c r="L22" i="5"/>
  <c r="E22" i="5"/>
  <c r="O21" i="5"/>
  <c r="M21" i="5"/>
  <c r="L21" i="5"/>
  <c r="E21" i="5"/>
  <c r="O20" i="5"/>
  <c r="M20" i="5"/>
  <c r="L20" i="5"/>
  <c r="E20" i="5"/>
  <c r="O19" i="5"/>
  <c r="M19" i="5"/>
  <c r="L19" i="5"/>
  <c r="E19" i="5"/>
  <c r="O18" i="5"/>
  <c r="M18" i="5"/>
  <c r="L18" i="5"/>
  <c r="E18" i="5"/>
  <c r="O17" i="5"/>
  <c r="M17" i="5"/>
  <c r="L17" i="5"/>
  <c r="E17" i="5"/>
  <c r="O16" i="5"/>
  <c r="M16" i="5"/>
  <c r="L16" i="5"/>
  <c r="O15" i="5"/>
  <c r="M15" i="5"/>
  <c r="L15" i="5"/>
  <c r="O14" i="5"/>
  <c r="M14" i="5"/>
  <c r="L14" i="5"/>
  <c r="O13" i="5"/>
  <c r="M13" i="5"/>
  <c r="L13" i="5"/>
  <c r="O12" i="5"/>
  <c r="M12" i="5"/>
  <c r="L12" i="5"/>
  <c r="O11" i="5"/>
  <c r="M11" i="5"/>
  <c r="L11" i="5"/>
  <c r="O10" i="5"/>
  <c r="M10" i="5"/>
  <c r="L10" i="5"/>
  <c r="O9" i="5"/>
  <c r="M9" i="5"/>
  <c r="L9" i="5"/>
  <c r="O8" i="5"/>
  <c r="M8" i="5"/>
  <c r="L8" i="5"/>
  <c r="O7" i="5"/>
  <c r="M7" i="5"/>
  <c r="L7" i="5"/>
  <c r="O5" i="5"/>
  <c r="M5" i="5"/>
  <c r="L5" i="5"/>
  <c r="O4" i="5"/>
  <c r="M4" i="5"/>
  <c r="L4" i="5"/>
  <c r="E4" i="5"/>
  <c r="O3" i="5"/>
  <c r="M3" i="5"/>
  <c r="L3" i="5"/>
  <c r="E3" i="5"/>
  <c r="AD1" i="5"/>
  <c r="AD18" i="5" s="1"/>
  <c r="AC1" i="5"/>
  <c r="AC17" i="5" s="1"/>
  <c r="AB1" i="5"/>
  <c r="AB12" i="5" s="1"/>
  <c r="AA1" i="5"/>
  <c r="AA12" i="5" s="1"/>
  <c r="Z1" i="5"/>
  <c r="Z17" i="5" s="1"/>
  <c r="Y1" i="5"/>
  <c r="Y10" i="5" s="1"/>
  <c r="X1" i="5"/>
  <c r="X3" i="5" s="1"/>
  <c r="W1" i="5"/>
  <c r="W18" i="5" s="1"/>
  <c r="V1" i="5"/>
  <c r="V17" i="5" s="1"/>
  <c r="U1" i="5"/>
  <c r="U12" i="5" s="1"/>
  <c r="T1" i="5"/>
  <c r="T19" i="5" s="1"/>
  <c r="S1" i="5"/>
  <c r="S16" i="5" s="1"/>
  <c r="R1" i="5"/>
  <c r="R20" i="5" s="1"/>
  <c r="Q1" i="5"/>
  <c r="Q21" i="5" s="1"/>
  <c r="P1" i="5"/>
  <c r="P15" i="5" s="1"/>
  <c r="K89" i="4"/>
  <c r="B89" i="4"/>
  <c r="K88" i="4"/>
  <c r="B88" i="4"/>
  <c r="K87" i="4"/>
  <c r="B87" i="4"/>
  <c r="K86" i="4"/>
  <c r="B86" i="4"/>
  <c r="K85" i="4"/>
  <c r="B85" i="4"/>
  <c r="K84" i="4"/>
  <c r="B84" i="4"/>
  <c r="K83" i="4"/>
  <c r="B83" i="4"/>
  <c r="K82" i="4"/>
  <c r="B82" i="4"/>
  <c r="K81" i="4"/>
  <c r="B81" i="4"/>
  <c r="K80" i="4"/>
  <c r="B80" i="4"/>
  <c r="K79" i="4"/>
  <c r="B79" i="4"/>
  <c r="K78" i="4"/>
  <c r="B78" i="4"/>
  <c r="K77" i="4"/>
  <c r="B77" i="4"/>
  <c r="K76" i="4"/>
  <c r="B76" i="4"/>
  <c r="K75" i="4"/>
  <c r="B75" i="4"/>
  <c r="K74" i="4"/>
  <c r="B74" i="4"/>
  <c r="K73" i="4"/>
  <c r="B73" i="4"/>
  <c r="K72" i="4"/>
  <c r="B72" i="4"/>
  <c r="K71" i="4"/>
  <c r="B71" i="4"/>
  <c r="K70" i="4"/>
  <c r="B70" i="4"/>
  <c r="K69" i="4"/>
  <c r="B69" i="4"/>
  <c r="K68" i="4"/>
  <c r="B68" i="4"/>
  <c r="K67" i="4"/>
  <c r="B67" i="4"/>
  <c r="K66" i="4"/>
  <c r="B66" i="4"/>
  <c r="K65" i="4"/>
  <c r="B65" i="4"/>
  <c r="K64" i="4"/>
  <c r="B64" i="4"/>
  <c r="K63" i="4"/>
  <c r="B63" i="4"/>
  <c r="K62" i="4"/>
  <c r="B62" i="4"/>
  <c r="K61" i="4"/>
  <c r="B61" i="4"/>
  <c r="K60" i="4"/>
  <c r="B60" i="4"/>
  <c r="K59" i="4"/>
  <c r="B59" i="4"/>
  <c r="K58" i="4"/>
  <c r="B58" i="4"/>
  <c r="K57" i="4"/>
  <c r="B57" i="4"/>
  <c r="K56" i="4"/>
  <c r="B56" i="4"/>
  <c r="K55" i="4"/>
  <c r="B55" i="4"/>
  <c r="K54" i="4"/>
  <c r="B54" i="4"/>
  <c r="K53" i="4"/>
  <c r="B53" i="4"/>
  <c r="K52" i="4"/>
  <c r="B52" i="4"/>
  <c r="K51" i="4"/>
  <c r="B51" i="4"/>
  <c r="K50" i="4"/>
  <c r="B50" i="4"/>
  <c r="K49" i="4"/>
  <c r="B49" i="4"/>
  <c r="K48" i="4"/>
  <c r="B48" i="4"/>
  <c r="K47" i="4"/>
  <c r="B47" i="4"/>
  <c r="K46" i="4"/>
  <c r="B46" i="4"/>
  <c r="K45" i="4"/>
  <c r="B45" i="4"/>
  <c r="K44" i="4"/>
  <c r="B44" i="4"/>
  <c r="K43" i="4"/>
  <c r="B43" i="4"/>
  <c r="K42" i="4"/>
  <c r="B42" i="4"/>
  <c r="K41" i="4"/>
  <c r="B41" i="4"/>
  <c r="K40" i="4"/>
  <c r="B40" i="4"/>
  <c r="K39" i="4"/>
  <c r="B39" i="4"/>
  <c r="K38" i="4"/>
  <c r="B38" i="4"/>
  <c r="K37" i="4"/>
  <c r="B37" i="4"/>
  <c r="K36" i="4"/>
  <c r="B36" i="4"/>
  <c r="K35" i="4"/>
  <c r="B35" i="4"/>
  <c r="K34" i="4"/>
  <c r="B34" i="4"/>
  <c r="K33" i="4"/>
  <c r="B33" i="4"/>
  <c r="K32" i="4"/>
  <c r="B32" i="4"/>
  <c r="K31" i="4"/>
  <c r="B31" i="4"/>
  <c r="K30" i="4"/>
  <c r="B30" i="4"/>
  <c r="K29" i="4"/>
  <c r="B29" i="4"/>
  <c r="K28" i="4"/>
  <c r="B28" i="4"/>
  <c r="K27" i="4"/>
  <c r="B27" i="4"/>
  <c r="K26" i="4"/>
  <c r="B26" i="4"/>
  <c r="K25" i="4"/>
  <c r="B25" i="4"/>
  <c r="K24" i="4"/>
  <c r="B24" i="4"/>
  <c r="K23" i="4"/>
  <c r="B23" i="4"/>
  <c r="K22" i="4"/>
  <c r="B22" i="4"/>
  <c r="K21" i="4"/>
  <c r="B21" i="4"/>
  <c r="K20" i="4"/>
  <c r="B20" i="4"/>
  <c r="K19" i="4"/>
  <c r="B19" i="4"/>
  <c r="K18" i="4"/>
  <c r="B18" i="4"/>
  <c r="K17" i="4"/>
  <c r="B17" i="4"/>
  <c r="K16" i="4"/>
  <c r="B16" i="4"/>
  <c r="K15" i="4"/>
  <c r="B15" i="4"/>
  <c r="K14" i="4"/>
  <c r="B14" i="4"/>
  <c r="K13" i="4"/>
  <c r="B13" i="4"/>
  <c r="K11" i="4"/>
  <c r="B11" i="4"/>
  <c r="K12" i="4"/>
  <c r="K9" i="4"/>
  <c r="K8" i="4"/>
  <c r="B8" i="4"/>
  <c r="K4" i="4"/>
  <c r="B4" i="4"/>
  <c r="K3" i="4"/>
  <c r="B3" i="4"/>
  <c r="K10" i="4"/>
  <c r="B10" i="4"/>
  <c r="Z1" i="4"/>
  <c r="Z4" i="4" s="1"/>
  <c r="Y1" i="4"/>
  <c r="Y8" i="4" s="1"/>
  <c r="X1" i="4"/>
  <c r="X9" i="4" s="1"/>
  <c r="W1" i="4"/>
  <c r="W12" i="4" s="1"/>
  <c r="V1" i="4"/>
  <c r="V4" i="4" s="1"/>
  <c r="U1" i="4"/>
  <c r="U9" i="4" s="1"/>
  <c r="T1" i="4"/>
  <c r="T12" i="4" s="1"/>
  <c r="S1" i="4"/>
  <c r="S3" i="4" s="1"/>
  <c r="R1" i="4"/>
  <c r="R10" i="4" s="1"/>
  <c r="Q1" i="4"/>
  <c r="Q12" i="4" s="1"/>
  <c r="P1" i="4"/>
  <c r="P9" i="4" s="1"/>
  <c r="O1" i="4"/>
  <c r="O9" i="4" s="1"/>
  <c r="N1" i="4"/>
  <c r="N9" i="4" s="1"/>
  <c r="M1" i="4"/>
  <c r="M9" i="4" s="1"/>
  <c r="L1" i="4"/>
  <c r="L8" i="4" s="1"/>
  <c r="L7" i="3"/>
  <c r="J7" i="3"/>
  <c r="H7" i="3"/>
  <c r="I7" i="3" s="1"/>
  <c r="F7" i="3"/>
  <c r="E7" i="3"/>
  <c r="B7" i="3"/>
  <c r="L6" i="3"/>
  <c r="J6" i="3"/>
  <c r="H6" i="3"/>
  <c r="I6" i="3" s="1"/>
  <c r="F6" i="3"/>
  <c r="E6" i="3"/>
  <c r="B6" i="3"/>
  <c r="L5" i="3"/>
  <c r="J5" i="3"/>
  <c r="H5" i="3"/>
  <c r="I5" i="3" s="1"/>
  <c r="F5" i="3"/>
  <c r="E5" i="3"/>
  <c r="B5" i="3"/>
  <c r="L4" i="3"/>
  <c r="J4" i="3"/>
  <c r="H4" i="3"/>
  <c r="I4" i="3" s="1"/>
  <c r="F4" i="3"/>
  <c r="E4" i="3"/>
  <c r="B4" i="3"/>
  <c r="L3" i="3"/>
  <c r="J3" i="3"/>
  <c r="H3" i="3"/>
  <c r="I3" i="3" s="1"/>
  <c r="F3" i="3"/>
  <c r="E3" i="3"/>
  <c r="B3" i="3"/>
  <c r="F17" i="2"/>
  <c r="E17" i="2"/>
  <c r="D17" i="2"/>
  <c r="C17" i="2"/>
  <c r="B17" i="2"/>
  <c r="F16" i="2"/>
  <c r="E16" i="2"/>
  <c r="D16" i="2"/>
  <c r="C16" i="2"/>
  <c r="B16" i="2"/>
  <c r="F15" i="2"/>
  <c r="E15" i="2"/>
  <c r="D15" i="2"/>
  <c r="C15" i="2"/>
  <c r="B15" i="2"/>
  <c r="F14" i="2"/>
  <c r="E14" i="2"/>
  <c r="D14" i="2"/>
  <c r="C14" i="2"/>
  <c r="B14" i="2"/>
  <c r="F13" i="2"/>
  <c r="E13" i="2"/>
  <c r="D13" i="2"/>
  <c r="C13" i="2"/>
  <c r="B13" i="2"/>
  <c r="F12" i="2"/>
  <c r="E12" i="2"/>
  <c r="D12" i="2"/>
  <c r="C12" i="2"/>
  <c r="B12" i="2"/>
  <c r="F11" i="2"/>
  <c r="E11" i="2"/>
  <c r="D11" i="2"/>
  <c r="C11" i="2"/>
  <c r="B11" i="2"/>
  <c r="F10" i="2"/>
  <c r="E10" i="2"/>
  <c r="D10" i="2"/>
  <c r="C10" i="2"/>
  <c r="B10" i="2"/>
  <c r="F9" i="2"/>
  <c r="E9" i="2"/>
  <c r="D9" i="2"/>
  <c r="C9" i="2"/>
  <c r="B9" i="2"/>
  <c r="F8" i="2"/>
  <c r="E8" i="2"/>
  <c r="D8" i="2"/>
  <c r="C8" i="2"/>
  <c r="B8" i="2"/>
  <c r="F7" i="2"/>
  <c r="E7" i="2"/>
  <c r="D7" i="2"/>
  <c r="C7" i="2"/>
  <c r="B7" i="2"/>
  <c r="F6" i="2"/>
  <c r="E6" i="2"/>
  <c r="D6" i="2"/>
  <c r="C6" i="2"/>
  <c r="B6" i="2"/>
  <c r="F5" i="2"/>
  <c r="E5" i="2"/>
  <c r="D5" i="2"/>
  <c r="C5" i="2"/>
  <c r="B5" i="2"/>
  <c r="N4" i="2"/>
  <c r="G4" i="2"/>
  <c r="E4" i="2"/>
  <c r="D4" i="2"/>
  <c r="C4" i="2"/>
  <c r="B4" i="2"/>
  <c r="N3" i="2"/>
  <c r="G3" i="2"/>
  <c r="E3" i="2"/>
  <c r="D3" i="2"/>
  <c r="C3" i="2"/>
  <c r="B3" i="2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BJ22" i="1"/>
  <c r="S22" i="1"/>
  <c r="F22" i="1"/>
  <c r="BJ21" i="1"/>
  <c r="S21" i="1"/>
  <c r="F21" i="1"/>
  <c r="BJ20" i="1"/>
  <c r="S20" i="1"/>
  <c r="F20" i="1"/>
  <c r="BJ19" i="1"/>
  <c r="S19" i="1"/>
  <c r="F19" i="1"/>
  <c r="BJ18" i="1"/>
  <c r="S18" i="1"/>
  <c r="F18" i="1"/>
  <c r="BJ17" i="1"/>
  <c r="S17" i="1"/>
  <c r="M17" i="1"/>
  <c r="F17" i="1"/>
  <c r="BJ16" i="1"/>
  <c r="S16" i="1"/>
  <c r="M16" i="1"/>
  <c r="F16" i="1"/>
  <c r="BJ15" i="1"/>
  <c r="S15" i="1"/>
  <c r="M15" i="1"/>
  <c r="F15" i="1"/>
  <c r="BJ14" i="1"/>
  <c r="S14" i="1"/>
  <c r="M14" i="1"/>
  <c r="F14" i="1"/>
  <c r="BJ13" i="1"/>
  <c r="S13" i="1"/>
  <c r="M13" i="1"/>
  <c r="F13" i="1"/>
  <c r="BJ12" i="1"/>
  <c r="S12" i="1"/>
  <c r="F12" i="1"/>
  <c r="BJ11" i="1"/>
  <c r="S11" i="1"/>
  <c r="F11" i="1"/>
  <c r="BJ10" i="1"/>
  <c r="S10" i="1"/>
  <c r="F10" i="1"/>
  <c r="BJ9" i="1"/>
  <c r="S9" i="1"/>
  <c r="F9" i="1"/>
  <c r="BJ8" i="1"/>
  <c r="S8" i="1"/>
  <c r="F8" i="1"/>
  <c r="BJ7" i="1"/>
  <c r="F7" i="1"/>
  <c r="BJ6" i="1"/>
  <c r="F6" i="1"/>
  <c r="BJ5" i="1"/>
  <c r="F5" i="1"/>
  <c r="BJ4" i="1"/>
  <c r="S4" i="1"/>
  <c r="M4" i="1"/>
  <c r="F4" i="2" s="1"/>
  <c r="F4" i="1"/>
  <c r="BJ3" i="1"/>
  <c r="S3" i="1"/>
  <c r="M3" i="1"/>
  <c r="F3" i="2" s="1"/>
  <c r="F3" i="1"/>
  <c r="C9" i="12" l="1"/>
  <c r="C10" i="12" s="1" a="1"/>
  <c r="C10" i="12" s="1"/>
  <c r="F2" i="11"/>
  <c r="E2" i="11"/>
  <c r="D2" i="11"/>
  <c r="C2" i="11"/>
  <c r="H39" i="12"/>
  <c r="AD4" i="12"/>
  <c r="AD5" i="12"/>
  <c r="A40" i="12"/>
  <c r="F9" i="12"/>
  <c r="F10" i="12" s="1" a="1"/>
  <c r="F10" i="12" s="1"/>
  <c r="A18" i="12"/>
  <c r="D9" i="12"/>
  <c r="D10" i="12" s="1" a="1"/>
  <c r="D10" i="12" s="1"/>
  <c r="E9" i="12"/>
  <c r="E10" i="12" s="1" a="1"/>
  <c r="E10" i="12" s="1"/>
  <c r="A15" i="12"/>
  <c r="B15" i="12"/>
  <c r="A26" i="12"/>
  <c r="A36" i="12"/>
  <c r="A22" i="12"/>
  <c r="A14" i="12"/>
  <c r="A24" i="12"/>
  <c r="A34" i="12"/>
  <c r="B9" i="12"/>
  <c r="B10" i="12" s="1" a="1"/>
  <c r="B10" i="12" s="1"/>
  <c r="A29" i="12"/>
  <c r="D39" i="12"/>
  <c r="G9" i="12"/>
  <c r="G10" i="12" s="1" a="1"/>
  <c r="G10" i="12" s="1"/>
  <c r="E39" i="12"/>
  <c r="F39" i="12"/>
  <c r="G39" i="12"/>
  <c r="B27" i="12"/>
  <c r="A38" i="12"/>
  <c r="A41" i="12"/>
  <c r="H9" i="12"/>
  <c r="H10" i="12" s="1" a="1"/>
  <c r="H10" i="12" s="1"/>
  <c r="A20" i="12"/>
  <c r="A27" i="12"/>
  <c r="A10" i="12"/>
  <c r="A11" i="12"/>
  <c r="A32" i="12"/>
  <c r="A39" i="12"/>
  <c r="A12" i="12"/>
  <c r="A33" i="12"/>
  <c r="B39" i="12"/>
  <c r="A17" i="12"/>
  <c r="B33" i="12"/>
  <c r="C39" i="12"/>
  <c r="A8" i="12"/>
  <c r="A21" i="12"/>
  <c r="A28" i="12"/>
  <c r="A35" i="12"/>
  <c r="A42" i="12"/>
  <c r="B21" i="12"/>
  <c r="A9" i="12"/>
  <c r="A16" i="12"/>
  <c r="A23" i="12"/>
  <c r="A30" i="12"/>
  <c r="F8" i="11"/>
  <c r="E8" i="11"/>
  <c r="D8" i="11"/>
  <c r="C8" i="11"/>
  <c r="F7" i="11"/>
  <c r="E7" i="11"/>
  <c r="D7" i="11"/>
  <c r="C7" i="11"/>
  <c r="F6" i="11"/>
  <c r="E6" i="11"/>
  <c r="D6" i="11"/>
  <c r="C6" i="11"/>
  <c r="F5" i="11"/>
  <c r="E5" i="11"/>
  <c r="D5" i="11"/>
  <c r="C5" i="11"/>
  <c r="K6" i="3"/>
  <c r="M6" i="3" s="1"/>
  <c r="A9" i="9" s="1"/>
  <c r="F4" i="11"/>
  <c r="E4" i="11"/>
  <c r="D4" i="11"/>
  <c r="C4" i="11"/>
  <c r="F3" i="11"/>
  <c r="Y18" i="5"/>
  <c r="E3" i="11"/>
  <c r="D3" i="11"/>
  <c r="C3" i="11"/>
  <c r="AB18" i="5"/>
  <c r="P3" i="4"/>
  <c r="P8" i="4"/>
  <c r="P2" i="4"/>
  <c r="O8" i="4"/>
  <c r="L2" i="4"/>
  <c r="T2" i="5"/>
  <c r="S2" i="5"/>
  <c r="AB2" i="5"/>
  <c r="D18" i="9"/>
  <c r="Y5" i="5"/>
  <c r="P4" i="4"/>
  <c r="T15" i="5"/>
  <c r="U15" i="5"/>
  <c r="U7" i="5"/>
  <c r="V12" i="5"/>
  <c r="U20" i="5"/>
  <c r="O10" i="4"/>
  <c r="O12" i="4"/>
  <c r="W4" i="5"/>
  <c r="T7" i="5"/>
  <c r="V4" i="5"/>
  <c r="P10" i="4"/>
  <c r="P12" i="4"/>
  <c r="Q2" i="5"/>
  <c r="T10" i="4"/>
  <c r="V7" i="5"/>
  <c r="AB11" i="5"/>
  <c r="U10" i="4"/>
  <c r="W7" i="5"/>
  <c r="AB5" i="5"/>
  <c r="N2" i="4"/>
  <c r="T9" i="5"/>
  <c r="V20" i="5"/>
  <c r="K5" i="3"/>
  <c r="M5" i="3" s="1"/>
  <c r="A8" i="9" s="1"/>
  <c r="O2" i="4"/>
  <c r="U9" i="5"/>
  <c r="AA5" i="5"/>
  <c r="Z5" i="5"/>
  <c r="Z18" i="5"/>
  <c r="N10" i="4"/>
  <c r="AA18" i="5"/>
  <c r="T16" i="5"/>
  <c r="T21" i="5"/>
  <c r="V9" i="4"/>
  <c r="V21" i="5"/>
  <c r="S2" i="4"/>
  <c r="T3" i="4"/>
  <c r="Q3" i="5"/>
  <c r="S8" i="5"/>
  <c r="W10" i="5"/>
  <c r="V13" i="5"/>
  <c r="W16" i="5"/>
  <c r="W21" i="5"/>
  <c r="W10" i="4"/>
  <c r="T2" i="4"/>
  <c r="U3" i="4"/>
  <c r="V3" i="5"/>
  <c r="T8" i="5"/>
  <c r="W13" i="5"/>
  <c r="U19" i="5"/>
  <c r="U21" i="5"/>
  <c r="V10" i="5"/>
  <c r="V16" i="5"/>
  <c r="V3" i="4"/>
  <c r="Q9" i="5"/>
  <c r="K4" i="3"/>
  <c r="M4" i="3" s="1"/>
  <c r="A7" i="9" s="1"/>
  <c r="V8" i="4"/>
  <c r="R10" i="5"/>
  <c r="T13" i="5"/>
  <c r="U16" i="5"/>
  <c r="P3" i="5"/>
  <c r="P8" i="5"/>
  <c r="U13" i="5"/>
  <c r="U2" i="4"/>
  <c r="U8" i="5"/>
  <c r="V10" i="4"/>
  <c r="W8" i="4"/>
  <c r="T5" i="5"/>
  <c r="U6" i="5"/>
  <c r="W8" i="5"/>
  <c r="Z11" i="5"/>
  <c r="V2" i="4"/>
  <c r="U12" i="4"/>
  <c r="T6" i="5"/>
  <c r="V8" i="5"/>
  <c r="V12" i="4"/>
  <c r="AA11" i="5"/>
  <c r="P2" i="5"/>
  <c r="T20" i="5"/>
  <c r="X13" i="5"/>
  <c r="Y21" i="5"/>
  <c r="Z12" i="4"/>
  <c r="K7" i="3"/>
  <c r="M7" i="3" s="1"/>
  <c r="A10" i="9" s="1"/>
  <c r="Y3" i="4"/>
  <c r="X21" i="5"/>
  <c r="Z4" i="5"/>
  <c r="N4" i="4"/>
  <c r="Y9" i="4"/>
  <c r="W3" i="5"/>
  <c r="R9" i="5"/>
  <c r="AB10" i="5"/>
  <c r="X12" i="5"/>
  <c r="V15" i="5"/>
  <c r="AA17" i="5"/>
  <c r="X20" i="5"/>
  <c r="O4" i="4"/>
  <c r="Z9" i="4"/>
  <c r="R2" i="5"/>
  <c r="Y3" i="5"/>
  <c r="V6" i="5"/>
  <c r="S9" i="5"/>
  <c r="Y12" i="5"/>
  <c r="W15" i="5"/>
  <c r="V19" i="5"/>
  <c r="Y20" i="5"/>
  <c r="X14" i="5"/>
  <c r="Y14" i="5"/>
  <c r="Z3" i="4"/>
  <c r="Z8" i="4"/>
  <c r="X12" i="4"/>
  <c r="Z8" i="5"/>
  <c r="Y12" i="4"/>
  <c r="X7" i="5"/>
  <c r="Z10" i="4"/>
  <c r="M4" i="4"/>
  <c r="W9" i="4"/>
  <c r="AB4" i="5"/>
  <c r="Z7" i="5"/>
  <c r="AA10" i="5"/>
  <c r="W12" i="5"/>
  <c r="W19" i="5"/>
  <c r="Z20" i="5"/>
  <c r="X19" i="5"/>
  <c r="Z2" i="4"/>
  <c r="N3" i="4"/>
  <c r="L12" i="4"/>
  <c r="U2" i="5"/>
  <c r="AB3" i="5"/>
  <c r="U5" i="5"/>
  <c r="Y6" i="5"/>
  <c r="Q8" i="5"/>
  <c r="V9" i="5"/>
  <c r="U11" i="5"/>
  <c r="T14" i="5"/>
  <c r="Z15" i="5"/>
  <c r="Y19" i="5"/>
  <c r="X4" i="5"/>
  <c r="Y4" i="5"/>
  <c r="Z13" i="5"/>
  <c r="L4" i="4"/>
  <c r="AA4" i="5"/>
  <c r="Y7" i="5"/>
  <c r="Z10" i="5"/>
  <c r="AA13" i="5"/>
  <c r="W20" i="5"/>
  <c r="L3" i="4"/>
  <c r="Z3" i="5"/>
  <c r="W6" i="5"/>
  <c r="W2" i="4"/>
  <c r="M3" i="4"/>
  <c r="AA3" i="5"/>
  <c r="X6" i="5"/>
  <c r="AD12" i="5"/>
  <c r="S14" i="5"/>
  <c r="Y15" i="5"/>
  <c r="O3" i="4"/>
  <c r="M8" i="4"/>
  <c r="M12" i="4"/>
  <c r="V2" i="5"/>
  <c r="V5" i="5"/>
  <c r="Z6" i="5"/>
  <c r="R8" i="5"/>
  <c r="Y9" i="5"/>
  <c r="V11" i="5"/>
  <c r="U14" i="5"/>
  <c r="U18" i="5"/>
  <c r="Z19" i="5"/>
  <c r="Y13" i="5"/>
  <c r="Z12" i="5"/>
  <c r="R14" i="5"/>
  <c r="X15" i="5"/>
  <c r="N8" i="4"/>
  <c r="N12" i="4"/>
  <c r="Y2" i="5"/>
  <c r="W5" i="5"/>
  <c r="Z9" i="5"/>
  <c r="X11" i="5"/>
  <c r="V14" i="5"/>
  <c r="V18" i="5"/>
  <c r="AA19" i="5"/>
  <c r="Z14" i="5"/>
  <c r="L10" i="4"/>
  <c r="Z2" i="5"/>
  <c r="X5" i="5"/>
  <c r="AB9" i="5"/>
  <c r="Y11" i="5"/>
  <c r="W14" i="5"/>
  <c r="X18" i="5"/>
  <c r="AB19" i="5"/>
  <c r="AD16" i="5"/>
  <c r="AC11" i="5"/>
  <c r="Q17" i="5"/>
  <c r="K3" i="3"/>
  <c r="M3" i="3" s="1"/>
  <c r="A6" i="9" s="1"/>
  <c r="S6" i="5"/>
  <c r="AC9" i="5"/>
  <c r="R17" i="5"/>
  <c r="P11" i="5"/>
  <c r="Q16" i="5"/>
  <c r="AC18" i="5"/>
  <c r="P21" i="5"/>
  <c r="AB13" i="5"/>
  <c r="R16" i="5"/>
  <c r="AB17" i="5"/>
  <c r="AD21" i="5"/>
  <c r="AD15" i="5"/>
  <c r="AD7" i="5"/>
  <c r="AD20" i="5"/>
  <c r="AD14" i="5"/>
  <c r="AD6" i="5"/>
  <c r="AD13" i="5"/>
  <c r="AD5" i="5"/>
  <c r="AD19" i="5"/>
  <c r="P20" i="5"/>
  <c r="P6" i="5"/>
  <c r="P14" i="5"/>
  <c r="P13" i="5"/>
  <c r="P5" i="5"/>
  <c r="P4" i="5"/>
  <c r="P19" i="5"/>
  <c r="P12" i="5"/>
  <c r="P18" i="5"/>
  <c r="Q8" i="4"/>
  <c r="Q20" i="5"/>
  <c r="Q14" i="5"/>
  <c r="Q6" i="5"/>
  <c r="Q5" i="5"/>
  <c r="Q18" i="5"/>
  <c r="Q13" i="5"/>
  <c r="Q11" i="5"/>
  <c r="Q19" i="5"/>
  <c r="Q12" i="5"/>
  <c r="Q4" i="5"/>
  <c r="P7" i="5"/>
  <c r="AD11" i="5"/>
  <c r="R7" i="5"/>
  <c r="AC19" i="5"/>
  <c r="Q4" i="4"/>
  <c r="AC3" i="5"/>
  <c r="AD9" i="5"/>
  <c r="P16" i="5"/>
  <c r="S17" i="5"/>
  <c r="Q10" i="4"/>
  <c r="R3" i="4"/>
  <c r="S4" i="4"/>
  <c r="AC2" i="5"/>
  <c r="AD2" i="5"/>
  <c r="Q15" i="5"/>
  <c r="R21" i="5"/>
  <c r="Q9" i="4"/>
  <c r="AC16" i="5"/>
  <c r="AC8" i="5"/>
  <c r="AC15" i="5"/>
  <c r="AC13" i="5"/>
  <c r="AC21" i="5"/>
  <c r="AC7" i="5"/>
  <c r="AC5" i="5"/>
  <c r="AC20" i="5"/>
  <c r="AC14" i="5"/>
  <c r="AC6" i="5"/>
  <c r="S13" i="5"/>
  <c r="S5" i="5"/>
  <c r="S19" i="5"/>
  <c r="S4" i="5"/>
  <c r="S12" i="5"/>
  <c r="S10" i="5"/>
  <c r="S3" i="5"/>
  <c r="S18" i="5"/>
  <c r="S11" i="5"/>
  <c r="AC10" i="5"/>
  <c r="AD4" i="5"/>
  <c r="R6" i="5"/>
  <c r="P10" i="5"/>
  <c r="R15" i="5"/>
  <c r="AD17" i="5"/>
  <c r="S21" i="5"/>
  <c r="R12" i="4"/>
  <c r="R9" i="4"/>
  <c r="S9" i="4"/>
  <c r="S8" i="4"/>
  <c r="S12" i="4"/>
  <c r="R8" i="4"/>
  <c r="R5" i="5"/>
  <c r="R19" i="5"/>
  <c r="R13" i="5"/>
  <c r="R12" i="5"/>
  <c r="R4" i="5"/>
  <c r="R18" i="5"/>
  <c r="R3" i="5"/>
  <c r="R11" i="5"/>
  <c r="Q7" i="5"/>
  <c r="AC4" i="5"/>
  <c r="S7" i="5"/>
  <c r="AD10" i="5"/>
  <c r="P17" i="5"/>
  <c r="Q3" i="4"/>
  <c r="R4" i="4"/>
  <c r="L9" i="4"/>
  <c r="AD3" i="5"/>
  <c r="AD8" i="5"/>
  <c r="Q2" i="4"/>
  <c r="S10" i="4"/>
  <c r="AA9" i="5"/>
  <c r="AA2" i="5"/>
  <c r="AA16" i="5"/>
  <c r="AA14" i="5"/>
  <c r="AA8" i="5"/>
  <c r="AA6" i="5"/>
  <c r="AA21" i="5"/>
  <c r="AA15" i="5"/>
  <c r="AA7" i="5"/>
  <c r="AA20" i="5"/>
  <c r="R2" i="4"/>
  <c r="AB16" i="5"/>
  <c r="AB21" i="5"/>
  <c r="AB8" i="5"/>
  <c r="AB15" i="5"/>
  <c r="AB7" i="5"/>
  <c r="AB20" i="5"/>
  <c r="AB14" i="5"/>
  <c r="AB6" i="5"/>
  <c r="P9" i="5"/>
  <c r="Q10" i="5"/>
  <c r="AC12" i="5"/>
  <c r="S15" i="5"/>
  <c r="S20" i="5"/>
  <c r="X8" i="5"/>
  <c r="T10" i="5"/>
  <c r="X2" i="4"/>
  <c r="X10" i="4"/>
  <c r="W3" i="4"/>
  <c r="U8" i="4"/>
  <c r="T9" i="4"/>
  <c r="W2" i="5"/>
  <c r="T3" i="5"/>
  <c r="Y8" i="5"/>
  <c r="W9" i="5"/>
  <c r="U10" i="5"/>
  <c r="Y16" i="5"/>
  <c r="Z21" i="5"/>
  <c r="T4" i="4"/>
  <c r="U4" i="4"/>
  <c r="T8" i="4"/>
  <c r="X16" i="5"/>
  <c r="U17" i="5"/>
  <c r="Y2" i="4"/>
  <c r="Y10" i="4"/>
  <c r="X3" i="4"/>
  <c r="W4" i="4"/>
  <c r="X2" i="5"/>
  <c r="U3" i="5"/>
  <c r="X9" i="5"/>
  <c r="T11" i="5"/>
  <c r="Z16" i="5"/>
  <c r="W17" i="5"/>
  <c r="T18" i="5"/>
  <c r="X10" i="5"/>
  <c r="T12" i="5"/>
  <c r="T17" i="5"/>
  <c r="X4" i="4"/>
  <c r="X17" i="5"/>
  <c r="Y4" i="4"/>
  <c r="X8" i="4"/>
  <c r="T4" i="5"/>
  <c r="Y17" i="5"/>
  <c r="U4" i="5"/>
  <c r="W11" i="5"/>
  <c r="B34" i="12" l="1" a="1"/>
  <c r="B34" i="12" s="1"/>
  <c r="B36" i="12" a="1"/>
  <c r="B36" i="12" s="1"/>
  <c r="B35" i="12" a="1"/>
  <c r="B35" i="12" s="1"/>
  <c r="B30" i="12" a="1"/>
  <c r="B30" i="12" s="1"/>
  <c r="B29" i="12" a="1"/>
  <c r="B29" i="12" s="1"/>
  <c r="B28" i="12" a="1"/>
  <c r="B28" i="12" s="1"/>
  <c r="B24" i="12" a="1"/>
  <c r="B24" i="12" s="1"/>
  <c r="B23" i="12" a="1"/>
  <c r="B23" i="12" s="1"/>
  <c r="B22" i="12" a="1"/>
  <c r="B22" i="12" s="1"/>
  <c r="B18" i="12" a="1"/>
  <c r="B18" i="12" s="1"/>
  <c r="B16" i="12" a="1"/>
  <c r="B16" i="12" s="1"/>
  <c r="B17" i="12" a="1"/>
  <c r="B17" i="12" s="1"/>
  <c r="F11" i="12" a="1"/>
  <c r="F11" i="12" s="1"/>
  <c r="F12" i="12" a="1"/>
  <c r="F12" i="12" s="1"/>
  <c r="H12" i="12" a="1"/>
  <c r="H12" i="12" s="1"/>
  <c r="H11" i="12" a="1"/>
  <c r="H11" i="12" s="1"/>
  <c r="E11" i="12" a="1"/>
  <c r="E11" i="12" s="1"/>
  <c r="E12" i="12" a="1"/>
  <c r="E12" i="12" s="1"/>
  <c r="G12" i="12" a="1"/>
  <c r="G12" i="12" s="1"/>
  <c r="G11" i="12" a="1"/>
  <c r="G11" i="12" s="1"/>
  <c r="D11" i="12" a="1"/>
  <c r="D11" i="12" s="1"/>
  <c r="D12" i="12" a="1"/>
  <c r="D12" i="12" s="1"/>
  <c r="C12" i="12" a="1"/>
  <c r="C12" i="12" s="1"/>
  <c r="C11" i="12" a="1"/>
  <c r="C11" i="12" s="1"/>
  <c r="B12" i="12" a="1"/>
  <c r="B12" i="12" s="1"/>
  <c r="B11" i="12" a="1"/>
  <c r="B11" i="12" s="1"/>
  <c r="C42" i="12"/>
  <c r="C41" i="12"/>
  <c r="C40" i="12" a="1"/>
  <c r="C40" i="12" s="1"/>
  <c r="D41" i="12"/>
  <c r="D42" i="12"/>
  <c r="D40" i="12" a="1"/>
  <c r="D40" i="12" s="1"/>
  <c r="B41" i="12"/>
  <c r="B42" i="12"/>
  <c r="B40" i="12" a="1"/>
  <c r="B40" i="12" s="1"/>
  <c r="E42" i="12"/>
  <c r="E40" i="12" a="1"/>
  <c r="E40" i="12" s="1"/>
  <c r="E41" i="12"/>
  <c r="G40" i="12" a="1"/>
  <c r="G40" i="12" s="1"/>
  <c r="G42" i="12"/>
  <c r="G41" i="12"/>
  <c r="F42" i="12"/>
  <c r="F40" i="12" a="1"/>
  <c r="F40" i="12" s="1"/>
  <c r="F41" i="12"/>
  <c r="H42" i="12"/>
  <c r="H40" i="12" a="1"/>
  <c r="H40" i="12" s="1"/>
  <c r="H41" i="12"/>
  <c r="C5" i="12"/>
  <c r="C6" i="12"/>
  <c r="G5" i="12"/>
  <c r="G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<sst xmlns="http://schemas.openxmlformats.org/spreadsheetml/2006/main" count="782" uniqueCount="307">
  <si>
    <t>STAFF MASTER</t>
  </si>
  <si>
    <t>PROJECT MASTER</t>
  </si>
  <si>
    <t>FREELANCE - PROJECT MAPPING</t>
  </si>
  <si>
    <t>ROLE MASTER</t>
  </si>
  <si>
    <t>PROJECT TYPE</t>
  </si>
  <si>
    <t>PHASE MASTER</t>
  </si>
  <si>
    <t>PROJECT STATUS</t>
  </si>
  <si>
    <t>MEETING TYPE</t>
  </si>
  <si>
    <t>MEETING LOCATION</t>
  </si>
  <si>
    <t>ACTIVITY TYPE</t>
  </si>
  <si>
    <t>PRIORITY</t>
  </si>
  <si>
    <t>PROJECT SIZE MULTIPLIER</t>
  </si>
  <si>
    <t>WORKLOAD STATUS</t>
  </si>
  <si>
    <t>MAPPING STATUS</t>
  </si>
  <si>
    <t>MONTH MASTER</t>
  </si>
  <si>
    <t>TASK STATUS</t>
  </si>
  <si>
    <t>SYSTEM</t>
  </si>
  <si>
    <t>FREELANCER LIST</t>
  </si>
  <si>
    <t>Staff Name</t>
  </si>
  <si>
    <t>Category</t>
  </si>
  <si>
    <t>Primary Role</t>
  </si>
  <si>
    <t>Intern Start</t>
  </si>
  <si>
    <t>Intern End</t>
  </si>
  <si>
    <t>Intern Duration (mo)</t>
  </si>
  <si>
    <t>Project ID</t>
  </si>
  <si>
    <t>Project Name</t>
  </si>
  <si>
    <t>Project Type</t>
  </si>
  <si>
    <t>Start Date</t>
  </si>
  <si>
    <t>Target Finish</t>
  </si>
  <si>
    <t>Duration (mo)</t>
  </si>
  <si>
    <t>Project Status</t>
  </si>
  <si>
    <t>Project Size</t>
  </si>
  <si>
    <t>Freelancer</t>
  </si>
  <si>
    <t>Mapping Status</t>
  </si>
  <si>
    <t>Role</t>
  </si>
  <si>
    <t>Notes</t>
  </si>
  <si>
    <t>Phase</t>
  </si>
  <si>
    <t>Sequence</t>
  </si>
  <si>
    <t>Base Load</t>
  </si>
  <si>
    <t>Status</t>
  </si>
  <si>
    <t>Meeting Type</t>
  </si>
  <si>
    <t>Location</t>
  </si>
  <si>
    <t>Activity Type</t>
  </si>
  <si>
    <t>Priority</t>
  </si>
  <si>
    <t>Multiplier</t>
  </si>
  <si>
    <t>Max Load</t>
  </si>
  <si>
    <t>Month</t>
  </si>
  <si>
    <t>Pak Ridha</t>
  </si>
  <si>
    <t>Permanent</t>
  </si>
  <si>
    <t>Principal Architect</t>
  </si>
  <si>
    <t>P01</t>
  </si>
  <si>
    <t>Rumah Pak Nata</t>
  </si>
  <si>
    <t>Residential</t>
  </si>
  <si>
    <t>Active</t>
  </si>
  <si>
    <t>Big</t>
  </si>
  <si>
    <t>Hanif</t>
  </si>
  <si>
    <t>P03</t>
  </si>
  <si>
    <t>Concept</t>
  </si>
  <si>
    <t>Pipeline</t>
  </si>
  <si>
    <t>Internal Design</t>
  </si>
  <si>
    <t>Studio</t>
  </si>
  <si>
    <t>Submission</t>
  </si>
  <si>
    <t>High</t>
  </si>
  <si>
    <t>Small</t>
  </si>
  <si>
    <t>AVAILABLE</t>
  </si>
  <si>
    <t>Sep 2026</t>
  </si>
  <si>
    <t>Not Started</t>
  </si>
  <si>
    <t>Dinda</t>
  </si>
  <si>
    <t>Studio Manager</t>
  </si>
  <si>
    <t>P02</t>
  </si>
  <si>
    <t>Interior RS Mitra Medika</t>
  </si>
  <si>
    <t>Medium</t>
  </si>
  <si>
    <t>P04</t>
  </si>
  <si>
    <t>Project Director</t>
  </si>
  <si>
    <t>Office</t>
  </si>
  <si>
    <t>SD</t>
  </si>
  <si>
    <t>Client Meeting</t>
  </si>
  <si>
    <t>Online</t>
  </si>
  <si>
    <t>Internal Review</t>
  </si>
  <si>
    <t>NORMAL</t>
  </si>
  <si>
    <t>Inactive</t>
  </si>
  <si>
    <t>Oct 2026</t>
  </si>
  <si>
    <t>In Progress</t>
  </si>
  <si>
    <t>Cahyo</t>
  </si>
  <si>
    <t>Senior Architect</t>
  </si>
  <si>
    <t>P06</t>
  </si>
  <si>
    <t>Project Lead / Senior Architect</t>
  </si>
  <si>
    <t>Hospitality</t>
  </si>
  <si>
    <t>DD</t>
  </si>
  <si>
    <t>On Hold</t>
  </si>
  <si>
    <t>Consultant Coordination</t>
  </si>
  <si>
    <t>Client Office</t>
  </si>
  <si>
    <t>Client Review</t>
  </si>
  <si>
    <t>Low</t>
  </si>
  <si>
    <t>FULL</t>
  </si>
  <si>
    <t>Ended</t>
  </si>
  <si>
    <t>Nov 2026</t>
  </si>
  <si>
    <t>Review</t>
  </si>
  <si>
    <t>Ikram</t>
  </si>
  <si>
    <t>Architect</t>
  </si>
  <si>
    <t>P08</t>
  </si>
  <si>
    <t>F&amp;B Interior</t>
  </si>
  <si>
    <t>DED</t>
  </si>
  <si>
    <t>Completed</t>
  </si>
  <si>
    <t>Site Meeting</t>
  </si>
  <si>
    <t>Site</t>
  </si>
  <si>
    <t>Design Freeze</t>
  </si>
  <si>
    <t>OVERLOAD</t>
  </si>
  <si>
    <t>Dec 2026</t>
  </si>
  <si>
    <t>Submitted</t>
  </si>
  <si>
    <t>Agung</t>
  </si>
  <si>
    <t>Healthcare</t>
  </si>
  <si>
    <t>Tender</t>
  </si>
  <si>
    <t>Cancelled</t>
  </si>
  <si>
    <t>Vendor Meeting</t>
  </si>
  <si>
    <t>Consultant Office</t>
  </si>
  <si>
    <t>Site Visit</t>
  </si>
  <si>
    <t>Done</t>
  </si>
  <si>
    <t>Alifa</t>
  </si>
  <si>
    <t>Junior Architect</t>
  </si>
  <si>
    <t>Interior</t>
  </si>
  <si>
    <t>Construction</t>
  </si>
  <si>
    <t>Archived</t>
  </si>
  <si>
    <t>Design Review</t>
  </si>
  <si>
    <t>Issue Drawing</t>
  </si>
  <si>
    <t>Delayed</t>
  </si>
  <si>
    <t>Interior Designer</t>
  </si>
  <si>
    <t>Education</t>
  </si>
  <si>
    <t>Handover</t>
  </si>
  <si>
    <t>Kickoff Meeting</t>
  </si>
  <si>
    <t>Tender Deadline</t>
  </si>
  <si>
    <t>Aulia</t>
  </si>
  <si>
    <t>Intern</t>
  </si>
  <si>
    <t>Drafter / 3D</t>
  </si>
  <si>
    <t>BIM Modeller</t>
  </si>
  <si>
    <t>Retail</t>
  </si>
  <si>
    <t>-</t>
  </si>
  <si>
    <t>Presentation</t>
  </si>
  <si>
    <t>Putri</t>
  </si>
  <si>
    <t>Commercial</t>
  </si>
  <si>
    <t>Material Approval</t>
  </si>
  <si>
    <t>3D Artist</t>
  </si>
  <si>
    <t>Mixed Use</t>
  </si>
  <si>
    <t>Shop Drawing Review</t>
  </si>
  <si>
    <t>Graphic Designer</t>
  </si>
  <si>
    <t>Healthcare Interior</t>
  </si>
  <si>
    <t>Survey</t>
  </si>
  <si>
    <t>Project Coordinator</t>
  </si>
  <si>
    <t>Coordination</t>
  </si>
  <si>
    <t>Site Architect</t>
  </si>
  <si>
    <t>QA/QC</t>
  </si>
  <si>
    <t>Structure</t>
  </si>
  <si>
    <t>MEP</t>
  </si>
  <si>
    <t>RAB</t>
  </si>
  <si>
    <t>PROJECT SCHEDULE | Sep–Dec 2026</t>
  </si>
  <si>
    <t>Lead</t>
  </si>
  <si>
    <t>Sep</t>
  </si>
  <si>
    <t>Oct</t>
  </si>
  <si>
    <t>Nov</t>
  </si>
  <si>
    <t>Dec</t>
  </si>
  <si>
    <t>Key Milestone</t>
  </si>
  <si>
    <t>DED coordination + client review</t>
  </si>
  <si>
    <t>Compact-living design development</t>
  </si>
  <si>
    <t>P05</t>
  </si>
  <si>
    <t>P09</t>
  </si>
  <si>
    <t>STAFF ALLOCATION | Project Phase Assignment &amp; Automatic Workload</t>
  </si>
  <si>
    <t>Staff</t>
  </si>
  <si>
    <t>Staff Category</t>
  </si>
  <si>
    <t>Role on Project</t>
  </si>
  <si>
    <t>Size Multiplier</t>
  </si>
  <si>
    <t>Phase Weight</t>
  </si>
  <si>
    <t>Total Phase Load</t>
  </si>
  <si>
    <t>Assigned Staff Count</t>
  </si>
  <si>
    <t>Individual Load</t>
  </si>
  <si>
    <t>WORK ACTIVITY | Deliverables &amp; Work Timeline</t>
  </si>
  <si>
    <t>End Date</t>
  </si>
  <si>
    <t>Deliverable / Task</t>
  </si>
  <si>
    <t>PIC</t>
  </si>
  <si>
    <t>System Key</t>
  </si>
  <si>
    <t>Usage</t>
  </si>
  <si>
    <t>Start Date - End Date menggambarkan periode pengerjaan. End Date menjadi milestone/submission bila diperlukan.</t>
  </si>
  <si>
    <t>MEETING SCHEDULE | Conflict-aware attendees</t>
  </si>
  <si>
    <t>Date</t>
  </si>
  <si>
    <t>Start</t>
  </si>
  <si>
    <t>End</t>
  </si>
  <si>
    <t>Attendee 1</t>
  </si>
  <si>
    <t>Attendee 2</t>
  </si>
  <si>
    <t>Attendee 3</t>
  </si>
  <si>
    <t>Attendee 4</t>
  </si>
  <si>
    <t>Conflict Level</t>
  </si>
  <si>
    <t>Conflict Details</t>
  </si>
  <si>
    <t>Agenda / Notes</t>
  </si>
  <si>
    <t>Other Activity</t>
  </si>
  <si>
    <t>Related Staff</t>
  </si>
  <si>
    <t>ALL PROJECTS</t>
  </si>
  <si>
    <t>WEEKLY SCHEDULE DASHBOARD</t>
  </si>
  <si>
    <t>Project Filter List</t>
  </si>
  <si>
    <t>Week Filter</t>
  </si>
  <si>
    <t>Control</t>
  </si>
  <si>
    <t>Value</t>
  </si>
  <si>
    <t>All</t>
  </si>
  <si>
    <t>Calendar Start</t>
  </si>
  <si>
    <t>MONTH</t>
  </si>
  <si>
    <t>PROJECT</t>
  </si>
  <si>
    <t>WEEK</t>
  </si>
  <si>
    <t>Week 1</t>
  </si>
  <si>
    <t>Selected Project ID</t>
  </si>
  <si>
    <t>Week 2</t>
  </si>
  <si>
    <t>Period Start</t>
  </si>
  <si>
    <t>WORK ITEMS</t>
  </si>
  <si>
    <t>MEETINGS</t>
  </si>
  <si>
    <t>Week 3</t>
  </si>
  <si>
    <t>Period End</t>
  </si>
  <si>
    <t>CONFLICT MEETINGS</t>
  </si>
  <si>
    <t>VIEW PERIOD</t>
  </si>
  <si>
    <t>Week 4</t>
  </si>
  <si>
    <t>Selected Project Name</t>
  </si>
  <si>
    <t>Week 5</t>
  </si>
  <si>
    <t>Week 6</t>
  </si>
  <si>
    <t>STUDIO CONTROL DASHBOARD</t>
  </si>
  <si>
    <t>Studio Lead: Pak Ridha | Studio Manager: Dinda | Sample workload, projects, meetings &amp; deadlines | Sep-Dec 2026</t>
  </si>
  <si>
    <t>STAFF WORKLOAD</t>
  </si>
  <si>
    <t>Sep Load</t>
  </si>
  <si>
    <t>Sep Status</t>
  </si>
  <si>
    <t>Oct Load</t>
  </si>
  <si>
    <t>Oct Status</t>
  </si>
  <si>
    <t>Nov Load</t>
  </si>
  <si>
    <t>Nov Status</t>
  </si>
  <si>
    <t>Dec Load</t>
  </si>
  <si>
    <t>Dec Status</t>
  </si>
  <si>
    <t>MONTHLY CONTROL</t>
  </si>
  <si>
    <t>HOW THE LOAD WORKS</t>
  </si>
  <si>
    <t>Meetings</t>
  </si>
  <si>
    <t>Deadlines</t>
  </si>
  <si>
    <t>Conflict Meetings</t>
  </si>
  <si>
    <t>Monthly Load is calculated automatically using:
Phase Base Load × Project Size Multiplier.
Default example:
• DD = 30% base load.
• Small = ×1.0, Medium = ×1.5, Big = ×2.0.
• Big DD = 60% load; Small DED = 35% load.
All Phase Loads and Size Multipliers can be changed in Setup. Meeting/deadline pressure remains a separate warning and is not double-counted into workload.</t>
  </si>
  <si>
    <t>PROJECT GANTT DASHBOARD</t>
  </si>
  <si>
    <t>PERIOD MODE</t>
  </si>
  <si>
    <t>Contract Period</t>
  </si>
  <si>
    <t>START</t>
  </si>
  <si>
    <t>END</t>
  </si>
  <si>
    <t>Phase / Activity</t>
  </si>
  <si>
    <t>P01 | Skematik zonasi &amp; sirkulasi perpustakaan</t>
  </si>
  <si>
    <t>■</t>
  </si>
  <si>
    <t>P02 | Alternatif denah rumah kompak</t>
  </si>
  <si>
    <t>P03 | Review denah ruko lantai 1-2 &amp; tangga</t>
  </si>
  <si>
    <t>P04 | Layout lounge &amp; ruang ganti</t>
  </si>
  <si>
    <t>P05 | Layout meja alat &amp; clearances laboratorium</t>
  </si>
  <si>
    <t>P06 | Verifikasi kondisi existing Rachel Hotel</t>
  </si>
  <si>
    <t>P07 | Paket gambar Teras Literasi</t>
  </si>
  <si>
    <t>P08 | Review layout panel pameran BPK RI</t>
  </si>
  <si>
    <t>P09 | Material toilet &amp; countertop wastafel</t>
  </si>
  <si>
    <t>P10 | Review denah rumah + studio kompak</t>
  </si>
  <si>
    <t>P03 | Koordinasi awal pekerjaan ruko</t>
  </si>
  <si>
    <t>P06 | Progress DED Rachel Hotel</t>
  </si>
  <si>
    <t>P01 | Review DED perpustakaan</t>
  </si>
  <si>
    <t>P05 | Review detail layout laboratorium</t>
  </si>
  <si>
    <t>P07 | Approval desain Teras Literasi</t>
  </si>
  <si>
    <t>P10 | Paket gambar pengembangan rumah + studio</t>
  </si>
  <si>
    <t>MEETING MILESTONES</t>
  </si>
  <si>
    <t>Project</t>
  </si>
  <si>
    <t>Meeting</t>
  </si>
  <si>
    <t>Penyelesaian Isu UGD dan Lab</t>
  </si>
  <si>
    <t>Pembahasan DED</t>
  </si>
  <si>
    <t>Gambar Rencana Detil Arsitektural</t>
  </si>
  <si>
    <t>Gambar Rencana Detil Lavatory</t>
  </si>
  <si>
    <t>Pak Heru</t>
  </si>
  <si>
    <t>Pak Kareem</t>
  </si>
  <si>
    <t>OTHER ACTIVITIES | Non-project activities shown on Weekly Schedule Dashboard</t>
  </si>
  <si>
    <t>Leadership view • Work &amp; Meeting follow project filter • Other remains independent of project filter</t>
  </si>
  <si>
    <t>Reading guide: WORK = deadlines/deliverables • MEETING = scheduled meetings (! indicates a conflict/warning) • OTHER = non-project activities and always remains visible for the selected date range. Each cell shows the first item and (+n more) when multiple activities occur on the same day.</t>
  </si>
  <si>
    <t>Type</t>
  </si>
  <si>
    <t>Activity</t>
  </si>
  <si>
    <t>Time</t>
  </si>
  <si>
    <t>Gambar heru</t>
  </si>
  <si>
    <t>Work</t>
  </si>
  <si>
    <t>DASHBOARD_V5_OK</t>
  </si>
  <si>
    <t>WEEK=All</t>
  </si>
  <si>
    <t>Pak Ridha, Agung, Alifa, Dinda</t>
  </si>
  <si>
    <t>Pak Ridha, Dinda, Agung</t>
  </si>
  <si>
    <t>karem</t>
  </si>
  <si>
    <t>arsalan</t>
  </si>
  <si>
    <t>miraldi</t>
  </si>
  <si>
    <t>Gambar pohon</t>
  </si>
  <si>
    <t>Submit desain</t>
  </si>
  <si>
    <t>gambar ismiraldi</t>
  </si>
  <si>
    <t>Gambar jono</t>
  </si>
  <si>
    <t>Ikram, Alifa</t>
  </si>
  <si>
    <t>Display</t>
  </si>
  <si>
    <t>P01 | Rumah Pak Nata</t>
  </si>
  <si>
    <t>• Gambar Rencana Detil Arsitektural (Ikram)</t>
  </si>
  <si>
    <t>• Gambar Rencana Detil Lavatory (Ikram)</t>
  </si>
  <si>
    <t>• karem (Ikram)</t>
  </si>
  <si>
    <t>• miraldi (Ikram)</t>
  </si>
  <si>
    <t>P02 | Interior RS Mitra Medika</t>
  </si>
  <si>
    <t>• arsalan (Ikram)</t>
  </si>
  <si>
    <t>• Gambar jono (Ikram)</t>
  </si>
  <si>
    <t>• Gambar pohon (Dinda)</t>
  </si>
  <si>
    <t xml:space="preserve">
P02 | Interior RS Mitra Medika</t>
  </si>
  <si>
    <t xml:space="preserve">
P01 | Rumah Pak Nata</t>
  </si>
  <si>
    <t>• Client Meeting
  PIC: Pak Ridha, Agung, Alifa, Dinda
  Time: 14:00
  Location: Client Office</t>
  </si>
  <si>
    <t>• Design Review
  PIC: Pak Ridha, Agung, Alifa, Dinda
  Time: 09:00
  Location: Client Office</t>
  </si>
  <si>
    <t>• Client Meeting
  PIC: Ikram, Alifa
  Time: 10:00
  Location: Online</t>
  </si>
  <si>
    <t>• Internal Design
  PIC: Pak Ridha, Dinda, Agung
  Time: 09:00
  Location: Studio</t>
  </si>
  <si>
    <t>• Gambar heru (Ikram) [SUB]</t>
  </si>
  <si>
    <t>• gambar ismiraldi (Ikram) [SUB]</t>
  </si>
  <si>
    <t>• Submit desain (Alifa) [SUB]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</si>
</sst>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-mmm\-yyyy"/>
    <numFmt numFmtId="165" formatCode="0.0\x"/>
    <numFmt numFmtId="166" formatCode="mmm\ yyyy"/>
    <numFmt numFmtId="167" formatCode="ddd\,\ dd\-mmm\-yyyy"/>
    <numFmt numFmtId="168" formatCode="ddd\ dd"/>
    <numFmt numFmtId="169" formatCode="yyyy\-mm\-dd\ h:mm:ss"/>
  </numFmts>
  <fonts count="19">
    <font>
      <sz val="11"/>
      <name val="Carlito"/>
    </font>
    <font>
      <b/>
      <sz val="11"/>
      <color rgb="FFFFFFFF"/>
      <name val="Carlito"/>
    </font>
    <font>
      <b/>
      <sz val="16"/>
      <color rgb="FFFFFFFF"/>
      <name val="Carlito"/>
    </font>
    <font>
      <b/>
      <sz val="15"/>
      <color rgb="FFFFFFFF"/>
      <name val="Carlito"/>
    </font>
    <font>
      <b/>
      <sz val="18"/>
      <color rgb="FFFFFFFF"/>
      <name val="Carlito"/>
    </font>
    <font>
      <i/>
      <sz val="11"/>
      <color rgb="FF64748B"/>
      <name val="Carlito"/>
    </font>
    <font>
      <i/>
      <sz val="11"/>
      <color rgb="FF243447"/>
      <name val="Carlito"/>
    </font>
    <font>
      <b/>
      <sz val="11"/>
      <color rgb="FF243447"/>
      <name val="Carlito"/>
    </font>
    <font>
      <b/>
      <sz val="12"/>
      <color rgb="FF243447"/>
      <name val="Carlito"/>
    </font>
    <font>
      <sz val="9"/>
      <color rgb="FF243447"/>
      <name val="Carlito"/>
    </font>
    <font>
      <i/>
      <sz val="9"/>
      <color rgb="FF64748B"/>
      <name val="Carlito"/>
    </font>
    <font>
      <sz val="1"/>
      <color rgb="FFFFFFFF"/>
      <name val="Carlito"/>
    </font>
    <font>
      <b/>
      <sz val="11"/>
      <color rgb="FFFFFFFF"/>
      <name val="Carlito"/>
    </font>
    <font>
      <b/>
      <sz val="11"/>
      <name val="Carlito"/>
    </font>
    <font>
      <b/>
      <sz val="16"/>
      <color rgb="FFFFFFFF"/>
      <name val="Carlito"/>
    </font>
    <font>
      <sz val="9"/>
      <color rgb="FF000000"/>
      <name val="Carlito"/>
    </font>
    <font>
      <sz val="11"/>
      <color rgb="FF000000"/>
      <name val="Carlito"/>
    </font>
    <font>
      <b/>
      <sz val="11"/>
      <color theme="0"/>
      <name val="Carlito"/>
    </font>
    <font>
      <b/>
      <sz val="9"/>
      <color rgb="FF000000"/>
      <name val="Carlito"/>
    </font>
  </fonts>
  <fills count="17">
    <fill>
      <patternFill patternType="none"/>
    </fill>
    <fill>
      <patternFill patternType="gray125"/>
    </fill>
    <fill>
      <patternFill patternType="solid">
        <fgColor rgb="FF475569"/>
      </patternFill>
    </fill>
    <fill>
      <patternFill patternType="solid">
        <fgColor rgb="FF243447"/>
      </patternFill>
    </fill>
    <fill>
      <patternFill patternType="solid">
        <fgColor rgb="FFF8FAFC"/>
      </patternFill>
    </fill>
    <fill>
      <patternFill patternType="solid">
        <fgColor rgb="FF475569"/>
      </patternFill>
    </fill>
    <fill>
      <patternFill patternType="solid">
        <fgColor rgb="FF243447"/>
      </patternFill>
    </fill>
    <fill>
      <patternFill patternType="solid">
        <fgColor rgb="FF475569"/>
      </patternFill>
    </fill>
    <fill>
      <patternFill patternType="solid">
        <fgColor rgb="FFFFFFFF"/>
      </patternFill>
    </fill>
    <fill>
      <patternFill patternType="solid">
        <fgColor rgb="FFF8FAFC"/>
      </patternFill>
    </fill>
    <fill>
      <patternFill patternType="solid">
        <fgColor rgb="FFE0F2FE"/>
      </patternFill>
    </fill>
    <fill>
      <patternFill patternType="solid">
        <fgColor rgb="FFFEF3C7"/>
      </patternFill>
    </fill>
    <fill>
      <patternFill patternType="solid">
        <fgColor rgb="FFF3E8FF"/>
      </patternFill>
    </fill>
    <fill>
      <patternFill patternType="solid">
        <fgColor rgb="FF243447"/>
      </patternFill>
    </fill>
    <fill>
      <patternFill patternType="solid">
        <fgColor rgb="FFE2E8F0"/>
      </patternFill>
    </fill>
    <fill>
      <patternFill patternType="solid">
        <fgColor rgb="FFDCFCE7"/>
      </patternFill>
    </fill>
    <fill>
      <patternFill patternType="solid">
        <fgColor theme="3" tint="0.499984740745262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/>
      <top style="thin">
        <color rgb="FFCBD5E1"/>
      </top>
      <bottom style="thin">
        <color rgb="FFCBD5E1"/>
      </bottom>
      <diagonal/>
    </border>
    <border>
      <left/>
      <right style="thin">
        <color rgb="FFCBD5E1"/>
      </right>
      <top style="thin">
        <color rgb="FFCBD5E1"/>
      </top>
      <bottom style="thin">
        <color rgb="FFCBD5E1"/>
      </bottom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  <border>
      <left/>
      <right/>
      <top style="thin">
        <color rgb="FFCBD5E1"/>
      </top>
      <bottom style="thin">
        <color rgb="FFCBD5E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1"/>
  </cellStyleXfs>
  <cellXfs count="91">
    <xf numFmtId="0" fontId="0" fillId="0" borderId="0" xfId="0" applyBorder="1"/>
    <xf numFmtId="0" fontId="1" fillId="3" borderId="0" xfId="0" applyFont="1" applyFill="1" applyBorder="1" applyAlignment="1">
      <alignment horizontal="center" vertical="center"/>
    </xf>
    <xf numFmtId="0" fontId="5" fillId="4" borderId="0" xfId="0" applyFont="1" applyFill="1" applyBorder="1"/>
    <xf numFmtId="0" fontId="1" fillId="6" borderId="0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0" fontId="7" fillId="11" borderId="4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11" fillId="8" borderId="0" xfId="0" applyFont="1" applyFill="1" applyBorder="1"/>
    <xf numFmtId="164" fontId="0" fillId="0" borderId="0" xfId="0" applyNumberFormat="1" applyBorder="1"/>
    <xf numFmtId="9" fontId="0" fillId="0" borderId="0" xfId="0" applyNumberFormat="1" applyBorder="1"/>
    <xf numFmtId="0" fontId="12" fillId="13" borderId="0" xfId="0" applyFont="1" applyFill="1" applyBorder="1" applyAlignment="1">
      <alignment horizontal="center"/>
    </xf>
    <xf numFmtId="20" fontId="0" fillId="0" borderId="0" xfId="0" applyNumberFormat="1" applyBorder="1"/>
    <xf numFmtId="0" fontId="13" fillId="0" borderId="0" xfId="0" applyFont="1" applyBorder="1"/>
    <xf numFmtId="0" fontId="13" fillId="14" borderId="0" xfId="0" applyFont="1" applyFill="1" applyBorder="1"/>
    <xf numFmtId="0" fontId="0" fillId="0" borderId="6" xfId="0" applyBorder="1"/>
    <xf numFmtId="0" fontId="0" fillId="15" borderId="0" xfId="0" applyFill="1" applyBorder="1"/>
    <xf numFmtId="0" fontId="0" fillId="14" borderId="0" xfId="0" applyFill="1" applyBorder="1"/>
    <xf numFmtId="0" fontId="0" fillId="0" borderId="0" xfId="0" applyBorder="1"/>
    <xf numFmtId="0" fontId="9" fillId="10" borderId="2" xfId="0" applyFont="1" applyFill="1" applyBorder="1" applyAlignment="1">
      <alignment horizontal="center" vertical="center" wrapText="1"/>
    </xf>
    <xf numFmtId="0" fontId="9" fillId="10" borderId="5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 wrapText="1"/>
    </xf>
    <xf numFmtId="0" fontId="9" fillId="11" borderId="5" xfId="0" applyFont="1" applyFill="1" applyBorder="1" applyAlignment="1">
      <alignment horizontal="center" vertical="center" wrapText="1"/>
    </xf>
    <xf numFmtId="0" fontId="9" fillId="11" borderId="3" xfId="0" applyFont="1" applyFill="1" applyBorder="1" applyAlignment="1">
      <alignment horizontal="center" vertical="center" wrapText="1"/>
    </xf>
    <xf numFmtId="0" fontId="9" fillId="12" borderId="2" xfId="0" applyFont="1" applyFill="1" applyBorder="1" applyAlignment="1">
      <alignment horizontal="center" vertical="center" wrapText="1"/>
    </xf>
    <xf numFmtId="0" fontId="9" fillId="12" borderId="5" xfId="0" applyFont="1" applyFill="1" applyBorder="1" applyAlignment="1">
      <alignment horizontal="center" vertical="center" wrapText="1"/>
    </xf>
    <xf numFmtId="0" fontId="9" fillId="12" borderId="3" xfId="0" applyFont="1" applyFill="1" applyBorder="1" applyAlignment="1">
      <alignment horizontal="center" vertical="center" wrapText="1"/>
    </xf>
    <xf numFmtId="0" fontId="0" fillId="0" borderId="1" xfId="0"/>
    <xf numFmtId="165" fontId="0" fillId="0" borderId="0" xfId="0" applyNumberFormat="1" applyBorder="1"/>
    <xf numFmtId="166" fontId="0" fillId="0" borderId="0" xfId="0" applyNumberFormat="1" applyBorder="1"/>
    <xf numFmtId="167" fontId="0" fillId="0" borderId="0" xfId="0" applyNumberFormat="1" applyBorder="1"/>
    <xf numFmtId="168" fontId="1" fillId="7" borderId="5" xfId="0" applyNumberFormat="1" applyFont="1" applyFill="1" applyBorder="1" applyAlignment="1">
      <alignment horizontal="center" vertical="center"/>
    </xf>
    <xf numFmtId="168" fontId="1" fillId="7" borderId="3" xfId="0" applyNumberFormat="1" applyFont="1" applyFill="1" applyBorder="1" applyAlignment="1">
      <alignment horizontal="center" vertical="center"/>
    </xf>
    <xf numFmtId="169" fontId="0" fillId="0" borderId="6" xfId="0" applyNumberFormat="1" applyBorder="1"/>
    <xf numFmtId="169" fontId="0" fillId="0" borderId="0" xfId="0" applyNumberFormat="1" applyBorder="1"/>
    <xf numFmtId="165" fontId="0" fillId="0" borderId="0" xfId="0" applyNumberFormat="1" applyBorder="1"/>
    <xf numFmtId="0" fontId="0" fillId="0" borderId="0" xfId="0" applyBorder="1"/>
    <xf numFmtId="0" fontId="0" fillId="0" borderId="1" xfId="0" applyFill="1" applyBorder="1"/>
    <xf numFmtId="0" fontId="0" fillId="0" borderId="0" xfId="0" applyBorder="1"/>
    <xf numFmtId="0" fontId="1" fillId="0" borderId="1" xfId="0" applyFont="1" applyFill="1" applyBorder="1" applyAlignment="1">
      <alignment horizontal="center" vertical="center"/>
    </xf>
    <xf numFmtId="166" fontId="0" fillId="0" borderId="1" xfId="0" applyNumberFormat="1" applyFill="1" applyBorder="1"/>
    <xf numFmtId="9" fontId="0" fillId="0" borderId="1" xfId="0" applyNumberFormat="1" applyFill="1" applyBorder="1"/>
    <xf numFmtId="0" fontId="0" fillId="0" borderId="0" xfId="0" applyBorder="1"/>
    <xf numFmtId="14" fontId="0" fillId="0" borderId="0" xfId="0" applyNumberFormat="1" applyBorder="1"/>
    <xf numFmtId="0" fontId="0" fillId="0" borderId="0" xfId="0" applyBorder="1"/>
    <xf numFmtId="0" fontId="1" fillId="7" borderId="1" xfId="0" applyFont="1" applyFill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0" fillId="0" borderId="1" xfId="0" applyAlignment="1">
      <alignment horizontal="center" vertical="center"/>
    </xf>
    <xf numFmtId="0" fontId="11" fillId="8" borderId="1" xfId="0" applyFont="1" applyFill="1" applyAlignment="1">
      <alignment horizontal="center" vertical="center"/>
    </xf>
    <xf numFmtId="0" fontId="0" fillId="0" borderId="1" xfId="0" applyAlignment="1">
      <alignment horizontal="center" vertical="center" wrapText="1"/>
    </xf>
    <xf numFmtId="0" fontId="0" fillId="0" borderId="0" xfId="0" applyBorder="1"/>
    <xf numFmtId="0" fontId="0" fillId="0" borderId="0" xfId="0" applyBorder="1"/>
    <xf numFmtId="14" fontId="0" fillId="0" borderId="1" xfId="0" applyNumberFormat="1" applyAlignment="1">
      <alignment horizontal="center" vertical="center"/>
    </xf>
    <xf numFmtId="0" fontId="0" fillId="0" borderId="0" xfId="0" applyBorder="1"/>
    <xf numFmtId="168" fontId="15" fillId="10" borderId="2" xfId="0" applyNumberFormat="1" applyFont="1" applyFill="1" applyBorder="1" applyAlignment="1">
      <alignment horizontal="left" vertical="top" wrapText="1"/>
    </xf>
    <xf numFmtId="0" fontId="15" fillId="11" borderId="5" xfId="0" applyFont="1" applyFill="1" applyBorder="1" applyAlignment="1">
      <alignment horizontal="left" vertical="top" wrapText="1"/>
    </xf>
    <xf numFmtId="0" fontId="15" fillId="12" borderId="5" xfId="0" applyFont="1" applyFill="1" applyBorder="1" applyAlignment="1">
      <alignment horizontal="left" vertical="top" wrapText="1"/>
    </xf>
    <xf numFmtId="0" fontId="0" fillId="0" borderId="0" xfId="0" applyFill="1" applyBorder="1"/>
    <xf numFmtId="0" fontId="0" fillId="0" borderId="1" xfId="0" applyBorder="1"/>
    <xf numFmtId="168" fontId="0" fillId="0" borderId="1" xfId="0" applyNumberFormat="1" applyAlignment="1">
      <alignment horizontal="center" vertical="center"/>
    </xf>
    <xf numFmtId="0" fontId="0" fillId="0" borderId="0" xfId="0" applyBorder="1" applyAlignment="1">
      <alignment wrapText="1"/>
    </xf>
    <xf numFmtId="168" fontId="17" fillId="7" borderId="5" xfId="0" applyNumberFormat="1" applyFont="1" applyFill="1" applyBorder="1" applyAlignment="1">
      <alignment horizontal="center" vertical="center"/>
    </xf>
    <xf numFmtId="0" fontId="16" fillId="0" borderId="1" xfId="0" applyFont="1" applyAlignment="1">
      <alignment horizontal="center" vertical="top" wrapText="1"/>
    </xf>
    <xf numFmtId="168" fontId="16" fillId="7" borderId="5" xfId="0" applyNumberFormat="1" applyFont="1" applyFill="1" applyBorder="1" applyAlignment="1">
      <alignment horizontal="center" vertical="top" wrapText="1"/>
    </xf>
    <xf numFmtId="168" fontId="16" fillId="7" borderId="3" xfId="0" applyNumberFormat="1" applyFont="1" applyFill="1" applyBorder="1" applyAlignment="1">
      <alignment horizontal="center" vertical="top" wrapText="1"/>
    </xf>
    <xf numFmtId="0" fontId="1" fillId="2" borderId="1" xfId="0" applyFont="1" applyFill="1" applyAlignment="1">
      <alignment vertical="center"/>
    </xf>
    <xf numFmtId="0" fontId="0" fillId="0" borderId="0" xfId="0" applyBorder="1"/>
    <xf numFmtId="0" fontId="1" fillId="5" borderId="1" xfId="0" applyFont="1" applyFill="1" applyAlignment="1">
      <alignment vertical="center"/>
    </xf>
    <xf numFmtId="0" fontId="1" fillId="16" borderId="1" xfId="0" applyFont="1" applyFill="1" applyAlignment="1">
      <alignment vertical="center"/>
    </xf>
    <xf numFmtId="0" fontId="3" fillId="3" borderId="1" xfId="0" applyFont="1" applyFill="1" applyAlignment="1">
      <alignment horizontal="center"/>
    </xf>
    <xf numFmtId="0" fontId="3" fillId="3" borderId="1" xfId="0" applyFont="1" applyFill="1"/>
    <xf numFmtId="0" fontId="7" fillId="14" borderId="1" xfId="0" applyFont="1" applyFill="1" applyAlignment="1">
      <alignment horizontal="center" vertical="center"/>
    </xf>
    <xf numFmtId="0" fontId="0" fillId="0" borderId="1" xfId="0" applyAlignment="1">
      <alignment horizontal="center" vertical="center"/>
    </xf>
    <xf numFmtId="0" fontId="16" fillId="0" borderId="1" xfId="0" applyFont="1" applyAlignment="1">
      <alignment horizontal="center" vertical="top" wrapText="1"/>
    </xf>
    <xf numFmtId="0" fontId="4" fillId="13" borderId="1" xfId="0" applyFont="1" applyFill="1" applyAlignment="1">
      <alignment horizontal="center" vertical="center"/>
    </xf>
    <xf numFmtId="0" fontId="6" fillId="14" borderId="1" xfId="0" applyFont="1" applyFill="1" applyAlignment="1">
      <alignment horizontal="center" vertical="center"/>
    </xf>
    <xf numFmtId="166" fontId="7" fillId="8" borderId="4" xfId="0" applyNumberFormat="1" applyFont="1" applyFill="1" applyBorder="1" applyAlignment="1">
      <alignment horizontal="center" vertical="center"/>
    </xf>
    <xf numFmtId="0" fontId="0" fillId="0" borderId="3" xfId="0" applyBorder="1"/>
    <xf numFmtId="0" fontId="7" fillId="8" borderId="4" xfId="0" applyFont="1" applyFill="1" applyBorder="1" applyAlignment="1">
      <alignment horizontal="center" vertical="center"/>
    </xf>
    <xf numFmtId="0" fontId="1" fillId="7" borderId="1" xfId="0" applyFont="1" applyFill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9" borderId="3" xfId="0" applyFont="1" applyFill="1" applyBorder="1" applyAlignment="1">
      <alignment horizontal="center" vertical="center"/>
    </xf>
    <xf numFmtId="0" fontId="10" fillId="9" borderId="1" xfId="0" applyFont="1" applyFill="1" applyAlignment="1">
      <alignment horizontal="center" vertical="center" wrapText="1"/>
    </xf>
    <xf numFmtId="0" fontId="2" fillId="6" borderId="1" xfId="0" applyFont="1" applyFill="1"/>
    <xf numFmtId="0" fontId="4" fillId="3" borderId="1" xfId="0" applyFont="1" applyFill="1" applyAlignment="1">
      <alignment vertical="center"/>
    </xf>
    <xf numFmtId="0" fontId="0" fillId="0" borderId="1" xfId="0" applyAlignment="1">
      <alignment vertical="top" wrapText="1"/>
    </xf>
    <xf numFmtId="0" fontId="14" fillId="13" borderId="1" xfId="0" applyFont="1" applyFill="1"/>
    <xf numFmtId="168" fontId="18" fillId="10" borderId="2" xfId="0" applyNumberFormat="1" applyFont="1" applyFill="1" applyBorder="1" applyAlignment="1">
      <alignment horizontal="left" vertical="top" wrapText="1"/>
    </xf>
    <xf numFmtId="0" fontId="18" fillId="11" borderId="5" xfId="0" applyFont="1" applyFill="1" applyBorder="1" applyAlignment="1">
      <alignment horizontal="left" vertical="top" wrapText="1"/>
    </xf>
  </cellXfs>
  <cellStyles count="1">
    <cellStyle name="Normal" xfId="0" builtinId="0"/>
  </cellStyles>
  <dxfs count="158"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ont>
        <b/>
      </font>
      <fill>
        <patternFill>
          <bgColor rgb="FFFECACA"/>
        </patternFill>
      </fill>
    </dxf>
    <dxf>
      <fill>
        <patternFill>
          <bgColor rgb="FFFEF3C7"/>
        </patternFill>
      </fill>
    </dxf>
    <dxf>
      <fill>
        <patternFill>
          <bgColor rgb="FFE0F2FE"/>
        </patternFill>
      </fill>
    </dxf>
    <dxf>
      <font>
        <b/>
      </font>
      <fill>
        <patternFill>
          <bgColor rgb="FFFEE2E2"/>
        </patternFill>
      </fill>
    </dxf>
    <dxf>
      <fill>
        <patternFill>
          <bgColor rgb="FFFFFFFF"/>
        </patternFill>
      </fill>
    </dxf>
    <dxf>
      <fill>
        <patternFill>
          <bgColor rgb="FFD1FAE5"/>
        </patternFill>
      </fill>
    </dxf>
    <dxf>
      <fill>
        <patternFill>
          <bgColor rgb="FFCFFAFE"/>
        </patternFill>
      </fill>
    </dxf>
    <dxf>
      <fill>
        <patternFill>
          <bgColor rgb="FFFFEDD5"/>
        </patternFill>
      </fill>
    </dxf>
    <dxf>
      <fill>
        <patternFill>
          <bgColor rgb="FFFEF3C7"/>
        </patternFill>
      </fill>
    </dxf>
    <dxf>
      <fill>
        <patternFill>
          <bgColor rgb="FFDCFCE7"/>
        </patternFill>
      </fill>
    </dxf>
    <dxf>
      <fill>
        <patternFill>
          <bgColor rgb="FFDBEAFE"/>
        </patternFill>
      </fill>
    </dxf>
    <dxf>
      <fill>
        <patternFill>
          <bgColor rgb="FFEDE9FE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94A3B8"/>
      </font>
      <fill>
        <patternFill patternType="solid">
          <bgColor rgb="FFF1F5F9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94A3B8"/>
      </font>
      <fill>
        <patternFill patternType="solid">
          <bgColor rgb="FFF1F5F9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94A3B8"/>
      </font>
      <fill>
        <patternFill patternType="solid">
          <bgColor rgb="FFF1F5F9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FFFFFF"/>
      </font>
      <fill>
        <patternFill patternType="solid">
          <bgColor rgb="FFFFFFFF"/>
        </patternFill>
      </fill>
    </dxf>
    <dxf>
      <font>
        <color rgb="FF94A3B8"/>
      </font>
      <fill>
        <patternFill patternType="solid">
          <bgColor rgb="FFF1F5F9"/>
        </patternFill>
      </fill>
    </dxf>
    <dxf>
      <font>
        <color rgb="FF94A3B8"/>
      </font>
      <fill>
        <patternFill patternType="solid">
          <bgColor rgb="FFF1F5F9"/>
        </patternFill>
      </fill>
    </dxf>
    <dxf>
      <font>
        <color rgb="FF94A3B8"/>
      </font>
      <fill>
        <patternFill patternType="solid">
          <bgColor rgb="FFF1F5F9"/>
        </patternFill>
      </fill>
    </dxf>
    <dxf>
      <fill>
        <patternFill>
          <bgColor rgb="FFDCFCE7"/>
        </patternFill>
      </fill>
    </dxf>
    <dxf>
      <fill>
        <patternFill>
          <bgColor rgb="FFFDE68A"/>
        </patternFill>
      </fill>
    </dxf>
    <dxf>
      <font>
        <b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ill>
        <patternFill>
          <bgColor rgb="FFDCFCE7"/>
        </patternFill>
      </fill>
    </dxf>
    <dxf>
      <fill>
        <patternFill>
          <bgColor rgb="FFFDE68A"/>
        </patternFill>
      </fill>
    </dxf>
    <dxf>
      <font>
        <b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  <color rgb="FF7F1D1D"/>
      </font>
      <fill>
        <patternFill>
          <bgColor rgb="FFFCA5A5"/>
        </patternFill>
      </fill>
    </dxf>
    <dxf>
      <font>
        <b/>
      </font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ont>
        <b/>
      </font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ont>
        <b/>
      </font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ont>
        <b/>
      </font>
      <fill>
        <patternFill>
          <bgColor rgb="FFFEE2E2"/>
        </patternFill>
      </fill>
    </dxf>
    <dxf>
      <font>
        <b/>
      </font>
      <fill>
        <patternFill>
          <bgColor rgb="FFFEE2E2"/>
        </patternFill>
      </fill>
    </dxf>
    <dxf>
      <font>
        <b/>
      </font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FEE2E2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ill>
        <patternFill>
          <bgColor rgb="FFFEE2E2"/>
        </patternFill>
      </fill>
    </dxf>
    <dxf>
      <fill>
        <patternFill>
          <bgColor rgb="FFFEF3C7"/>
        </patternFill>
      </fill>
    </dxf>
    <dxf>
      <fill>
        <patternFill>
          <bgColor rgb="FFDBEAFE"/>
        </patternFill>
      </fill>
    </dxf>
    <dxf>
      <fill>
        <patternFill>
          <bgColor rgb="FFDCFCE7"/>
        </patternFill>
      </fill>
    </dxf>
    <dxf>
      <font>
        <b/>
      </font>
      <fill>
        <patternFill>
          <bgColor rgb="FFFEE2E2"/>
        </patternFill>
      </fill>
    </dxf>
    <dxf>
      <font>
        <color rgb="FF94A3B8"/>
      </font>
      <fill>
        <patternFill>
          <bgColor rgb="FFF1F5F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0</xdr:row>
      <xdr:rowOff>22224</xdr:rowOff>
    </xdr:from>
    <xdr:to>
      <xdr:col>11</xdr:col>
      <xdr:colOff>270530</xdr:colOff>
      <xdr:row>0</xdr:row>
      <xdr:rowOff>376414</xdr:rowOff>
    </xdr:to>
    <xdr:sp macro="[0]!Upda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F2B58C-72C2-4267-A54B-BDD3D907AC47}"/>
            </a:ext>
          </a:extLst>
        </xdr:cNvPr>
        <xdr:cNvSpPr/>
      </xdr:nvSpPr>
      <xdr:spPr>
        <a:xfrm>
          <a:off x="16417925" y="22224"/>
          <a:ext cx="2648605" cy="35419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2000" b="1">
              <a:solidFill>
                <a:schemeClr val="bg1"/>
              </a:solidFill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62"/>
  <sheetViews>
    <sheetView topLeftCell="AG1" workbookViewId="0">
      <pane ySplit="1" topLeftCell="A2" activePane="bottomLeft" state="frozen"/>
      <selection pane="bottomLeft" activeCell="AK32" sqref="AK32"/>
    </sheetView>
  </sheetViews>
  <sheetFormatPr defaultRowHeight="14"/>
  <cols>
    <col min="1" max="1" width="18" style="18" customWidth="1"/>
    <col min="2" max="2" width="14" style="18" customWidth="1"/>
    <col min="3" max="3" width="28" style="18" customWidth="1"/>
    <col min="4" max="5" width="14" style="18" customWidth="1"/>
    <col min="6" max="6" width="17" style="18" customWidth="1"/>
    <col min="8" max="8" width="12" style="18" customWidth="1"/>
    <col min="9" max="9" width="30" style="18" customWidth="1"/>
    <col min="10" max="10" width="18" style="18" customWidth="1"/>
    <col min="11" max="13" width="14" style="18" customWidth="1"/>
    <col min="14" max="14" width="16" style="18" customWidth="1"/>
    <col min="15" max="15" width="14" style="18" customWidth="1"/>
    <col min="16" max="16" width="14" style="38" customWidth="1"/>
    <col min="17" max="17" width="18" style="18" customWidth="1"/>
    <col min="18" max="18" width="12" style="18" customWidth="1"/>
    <col min="19" max="19" width="30" style="18" customWidth="1"/>
    <col min="20" max="20" width="14" style="18" customWidth="1"/>
    <col min="22" max="22" width="28" style="18" customWidth="1"/>
    <col min="25" max="25" width="20" style="18" customWidth="1"/>
    <col min="28" max="28" width="18" style="18" customWidth="1"/>
    <col min="30" max="30" width="12" style="18" customWidth="1"/>
    <col min="31" max="31" width="12" style="38" customWidth="1"/>
    <col min="32" max="32" width="16" style="18" customWidth="1"/>
    <col min="35" max="35" width="25" style="18" customWidth="1"/>
    <col min="38" max="38" width="20" style="18" customWidth="1"/>
    <col min="41" max="41" width="22" style="18" customWidth="1"/>
    <col min="44" max="44" width="12" style="18" customWidth="1"/>
    <col min="47" max="47" width="15" style="18" customWidth="1"/>
    <col min="48" max="48" width="12" style="18" customWidth="1"/>
    <col min="50" max="50" width="16" style="18" customWidth="1"/>
    <col min="51" max="51" width="12" style="18" customWidth="1"/>
    <col min="53" max="53" width="14" style="18" customWidth="1"/>
    <col min="55" max="55" width="11.08203125" customWidth="1"/>
    <col min="56" max="57" width="14" style="18" customWidth="1"/>
    <col min="58" max="58" width="14" style="38" customWidth="1"/>
    <col min="59" max="59" width="16" style="18" customWidth="1"/>
    <col min="61" max="62" width="3" style="18" customWidth="1"/>
  </cols>
  <sheetData>
    <row r="1" spans="1:62">
      <c r="A1" s="66" t="s">
        <v>0</v>
      </c>
      <c r="B1" s="67"/>
      <c r="C1" s="67"/>
      <c r="D1" s="67"/>
      <c r="E1" s="67"/>
      <c r="F1" s="67"/>
      <c r="H1" s="68" t="s">
        <v>1</v>
      </c>
      <c r="I1" s="67"/>
      <c r="J1" s="67"/>
      <c r="K1" s="67"/>
      <c r="L1" s="67"/>
      <c r="M1" s="67"/>
      <c r="N1" s="67"/>
      <c r="O1" s="67"/>
      <c r="Q1" s="69" t="s">
        <v>2</v>
      </c>
      <c r="R1" s="67"/>
      <c r="S1" s="67"/>
      <c r="T1" s="67"/>
      <c r="V1" s="66" t="s">
        <v>3</v>
      </c>
      <c r="W1" s="67"/>
      <c r="Y1" s="66" t="s">
        <v>4</v>
      </c>
      <c r="Z1" s="67"/>
      <c r="AB1" s="68" t="s">
        <v>5</v>
      </c>
      <c r="AC1" s="67"/>
      <c r="AD1" s="67"/>
      <c r="AF1" s="66" t="s">
        <v>6</v>
      </c>
      <c r="AG1" s="67"/>
      <c r="AI1" s="66" t="s">
        <v>7</v>
      </c>
      <c r="AJ1" s="67"/>
      <c r="AL1" s="66" t="s">
        <v>8</v>
      </c>
      <c r="AM1" s="67"/>
      <c r="AO1" s="66" t="s">
        <v>9</v>
      </c>
      <c r="AP1" s="67"/>
      <c r="AR1" s="66" t="s">
        <v>10</v>
      </c>
      <c r="AS1" s="67"/>
      <c r="AU1" s="68" t="s">
        <v>11</v>
      </c>
      <c r="AV1" s="67"/>
      <c r="AX1" s="66" t="s">
        <v>12</v>
      </c>
      <c r="AY1" s="67"/>
      <c r="BA1" s="66" t="s">
        <v>13</v>
      </c>
      <c r="BB1" s="67"/>
      <c r="BD1" s="66" t="s">
        <v>14</v>
      </c>
      <c r="BE1" s="67"/>
      <c r="BG1" s="66" t="s">
        <v>15</v>
      </c>
      <c r="BH1" s="67"/>
      <c r="BI1" t="s">
        <v>16</v>
      </c>
      <c r="BJ1" t="s">
        <v>17</v>
      </c>
    </row>
    <row r="2" spans="1:62">
      <c r="A2" s="1" t="s">
        <v>18</v>
      </c>
      <c r="B2" s="1" t="s">
        <v>19</v>
      </c>
      <c r="C2" s="1" t="s">
        <v>20</v>
      </c>
      <c r="D2" s="1" t="s">
        <v>21</v>
      </c>
      <c r="E2" s="1" t="s">
        <v>22</v>
      </c>
      <c r="F2" s="1" t="s">
        <v>23</v>
      </c>
      <c r="H2" s="1" t="s">
        <v>24</v>
      </c>
      <c r="I2" s="1" t="s">
        <v>25</v>
      </c>
      <c r="J2" s="1" t="s">
        <v>26</v>
      </c>
      <c r="K2" s="1" t="s">
        <v>27</v>
      </c>
      <c r="L2" s="1" t="s">
        <v>28</v>
      </c>
      <c r="M2" s="1" t="s">
        <v>29</v>
      </c>
      <c r="N2" s="1" t="s">
        <v>30</v>
      </c>
      <c r="O2" s="3" t="s">
        <v>31</v>
      </c>
      <c r="P2" s="40"/>
      <c r="Q2" s="1" t="s">
        <v>32</v>
      </c>
      <c r="R2" s="1" t="s">
        <v>24</v>
      </c>
      <c r="S2" s="1" t="s">
        <v>25</v>
      </c>
      <c r="T2" s="1" t="s">
        <v>33</v>
      </c>
      <c r="V2" s="1" t="s">
        <v>34</v>
      </c>
      <c r="W2" s="1" t="s">
        <v>35</v>
      </c>
      <c r="Y2" s="1" t="s">
        <v>26</v>
      </c>
      <c r="Z2" s="1" t="s">
        <v>35</v>
      </c>
      <c r="AB2" s="3" t="s">
        <v>36</v>
      </c>
      <c r="AC2" s="3" t="s">
        <v>37</v>
      </c>
      <c r="AD2" s="3" t="s">
        <v>38</v>
      </c>
      <c r="AE2" s="40"/>
      <c r="AF2" s="1" t="s">
        <v>39</v>
      </c>
      <c r="AG2" s="1" t="s">
        <v>35</v>
      </c>
      <c r="AI2" s="1" t="s">
        <v>40</v>
      </c>
      <c r="AJ2" s="1" t="s">
        <v>35</v>
      </c>
      <c r="AL2" s="1" t="s">
        <v>41</v>
      </c>
      <c r="AM2" s="1" t="s">
        <v>35</v>
      </c>
      <c r="AO2" s="1" t="s">
        <v>42</v>
      </c>
      <c r="AP2" s="1" t="s">
        <v>35</v>
      </c>
      <c r="AR2" s="1" t="s">
        <v>43</v>
      </c>
      <c r="AS2" s="1" t="s">
        <v>35</v>
      </c>
      <c r="AU2" s="3" t="s">
        <v>31</v>
      </c>
      <c r="AV2" s="3" t="s">
        <v>44</v>
      </c>
      <c r="AX2" s="1" t="s">
        <v>39</v>
      </c>
      <c r="AY2" s="1" t="s">
        <v>45</v>
      </c>
      <c r="BA2" s="1" t="s">
        <v>39</v>
      </c>
      <c r="BB2" s="1" t="s">
        <v>35</v>
      </c>
      <c r="BD2" s="1" t="s">
        <v>46</v>
      </c>
      <c r="BE2" s="1" t="s">
        <v>27</v>
      </c>
      <c r="BF2" s="40"/>
      <c r="BG2" s="1" t="s">
        <v>39</v>
      </c>
      <c r="BH2" s="1" t="s">
        <v>35</v>
      </c>
    </row>
    <row r="3" spans="1:62">
      <c r="A3" t="s">
        <v>47</v>
      </c>
      <c r="B3" t="s">
        <v>48</v>
      </c>
      <c r="C3" t="s">
        <v>49</v>
      </c>
      <c r="D3" s="9"/>
      <c r="E3" s="9"/>
      <c r="F3" t="str">
        <f t="shared" ref="F3:F22" si="0">IF(OR(B3&lt;&gt;"Intern",D3="",E3=""),"",((YEAR(E3)-YEAR(D3))*12+MONTH(E3)-MONTH(D3)+1))</f>
        <v/>
      </c>
      <c r="H3" t="s">
        <v>50</v>
      </c>
      <c r="I3" t="s">
        <v>51</v>
      </c>
      <c r="J3" t="s">
        <v>52</v>
      </c>
      <c r="K3" s="9">
        <v>46238</v>
      </c>
      <c r="L3" s="9">
        <v>46295</v>
      </c>
      <c r="M3">
        <f>IF(OR(K3="",L3=""),"",((YEAR(L3)-YEAR(K3))*12+MONTH(L3)-MONTH(K3)+1))</f>
        <v>2</v>
      </c>
      <c r="N3" t="s">
        <v>53</v>
      </c>
      <c r="O3" t="s">
        <v>54</v>
      </c>
      <c r="Q3" t="s">
        <v>266</v>
      </c>
      <c r="R3" t="s">
        <v>50</v>
      </c>
      <c r="S3" t="str">
        <f t="shared" ref="S3:S34" si="1">IFERROR(INDEX($I$3:$I$17,MATCH(R3,$H$3:$H$17,0)),"")</f>
        <v>Rumah Pak Nata</v>
      </c>
      <c r="T3" t="s">
        <v>53</v>
      </c>
      <c r="V3" t="s">
        <v>49</v>
      </c>
      <c r="Y3" t="s">
        <v>52</v>
      </c>
      <c r="AB3" t="s">
        <v>57</v>
      </c>
      <c r="AC3">
        <v>1</v>
      </c>
      <c r="AD3" s="10">
        <v>0.15</v>
      </c>
      <c r="AE3" s="42"/>
      <c r="AF3" t="s">
        <v>58</v>
      </c>
      <c r="AI3" t="s">
        <v>59</v>
      </c>
      <c r="AL3" t="s">
        <v>60</v>
      </c>
      <c r="AO3" t="s">
        <v>61</v>
      </c>
      <c r="AR3" t="s">
        <v>62</v>
      </c>
      <c r="AU3" t="s">
        <v>63</v>
      </c>
      <c r="AV3" s="29">
        <v>1</v>
      </c>
      <c r="AX3" t="s">
        <v>64</v>
      </c>
      <c r="AY3" s="10">
        <v>0.6</v>
      </c>
      <c r="BA3" t="s">
        <v>53</v>
      </c>
      <c r="BD3" t="s">
        <v>65</v>
      </c>
      <c r="BE3" s="30">
        <v>46266</v>
      </c>
      <c r="BF3" s="41"/>
      <c r="BG3" t="s">
        <v>66</v>
      </c>
      <c r="BJ3" t="str">
        <f ca="1">IFERROR(INDEX($A$3:$A$22,_xludf.AGGREGATE(15,6,(ROW($A$3:$A$22)-ROW($A$3)+1)/(($B$3:$B$22="Freelance")*($A$3:$A$22&lt;&gt;"")),ROWS(BJ$3:BJ3))),"")</f>
        <v/>
      </c>
    </row>
    <row r="4" spans="1:62">
      <c r="A4" t="s">
        <v>67</v>
      </c>
      <c r="B4" t="s">
        <v>48</v>
      </c>
      <c r="C4" s="39" t="s">
        <v>68</v>
      </c>
      <c r="D4" s="9"/>
      <c r="E4" s="9"/>
      <c r="F4" t="str">
        <f t="shared" si="0"/>
        <v/>
      </c>
      <c r="H4" t="s">
        <v>69</v>
      </c>
      <c r="I4" t="s">
        <v>70</v>
      </c>
      <c r="J4" t="s">
        <v>52</v>
      </c>
      <c r="K4" s="9">
        <v>46266</v>
      </c>
      <c r="L4" s="9">
        <v>46417</v>
      </c>
      <c r="M4">
        <f>IF(OR(K4="",L4=""),"",((YEAR(L4)-YEAR(K4))*12+MONTH(L4)-MONTH(K4)+1))</f>
        <v>5</v>
      </c>
      <c r="N4" t="s">
        <v>53</v>
      </c>
      <c r="O4" t="s">
        <v>71</v>
      </c>
      <c r="Q4" t="s">
        <v>267</v>
      </c>
      <c r="R4" t="s">
        <v>69</v>
      </c>
      <c r="S4" t="str">
        <f t="shared" si="1"/>
        <v>Interior RS Mitra Medika</v>
      </c>
      <c r="T4" t="s">
        <v>53</v>
      </c>
      <c r="V4" t="s">
        <v>73</v>
      </c>
      <c r="Y4" t="s">
        <v>74</v>
      </c>
      <c r="AB4" t="s">
        <v>75</v>
      </c>
      <c r="AC4">
        <v>2</v>
      </c>
      <c r="AD4" s="10">
        <v>0.2</v>
      </c>
      <c r="AE4" s="42"/>
      <c r="AF4" t="s">
        <v>53</v>
      </c>
      <c r="AI4" t="s">
        <v>76</v>
      </c>
      <c r="AL4" t="s">
        <v>77</v>
      </c>
      <c r="AO4" t="s">
        <v>78</v>
      </c>
      <c r="AR4" t="s">
        <v>71</v>
      </c>
      <c r="AU4" t="s">
        <v>71</v>
      </c>
      <c r="AV4" s="29">
        <v>1.5</v>
      </c>
      <c r="AX4" t="s">
        <v>79</v>
      </c>
      <c r="AY4" s="10">
        <v>0.85</v>
      </c>
      <c r="BA4" t="s">
        <v>80</v>
      </c>
      <c r="BD4" t="s">
        <v>81</v>
      </c>
      <c r="BE4" s="30">
        <v>46296</v>
      </c>
      <c r="BF4" s="41"/>
      <c r="BG4" t="s">
        <v>82</v>
      </c>
      <c r="BJ4" t="str">
        <f ca="1">IFERROR(INDEX($A$3:$A$22,_xludf.AGGREGATE(15,6,(ROW($A$3:$A$22)-ROW($A$3)+1)/(($B$3:$B$22="Freelance")*($A$3:$A$22&lt;&gt;"")),ROWS(BJ$3:BJ4))),"")</f>
        <v/>
      </c>
    </row>
    <row r="5" spans="1:62">
      <c r="A5" t="s">
        <v>83</v>
      </c>
      <c r="B5" t="s">
        <v>48</v>
      </c>
      <c r="C5" t="s">
        <v>84</v>
      </c>
      <c r="D5" s="9"/>
      <c r="E5" s="9"/>
      <c r="F5" t="str">
        <f t="shared" si="0"/>
        <v/>
      </c>
      <c r="K5" s="9"/>
      <c r="L5" s="9"/>
      <c r="Q5"/>
      <c r="R5"/>
      <c r="S5"/>
      <c r="T5"/>
      <c r="V5" t="s">
        <v>86</v>
      </c>
      <c r="Y5" t="s">
        <v>87</v>
      </c>
      <c r="AB5" t="s">
        <v>88</v>
      </c>
      <c r="AC5">
        <v>3</v>
      </c>
      <c r="AD5" s="10">
        <v>0.3</v>
      </c>
      <c r="AE5" s="42"/>
      <c r="AF5" t="s">
        <v>89</v>
      </c>
      <c r="AI5" t="s">
        <v>90</v>
      </c>
      <c r="AL5" t="s">
        <v>91</v>
      </c>
      <c r="AO5" t="s">
        <v>92</v>
      </c>
      <c r="AR5" t="s">
        <v>93</v>
      </c>
      <c r="AU5" t="s">
        <v>54</v>
      </c>
      <c r="AV5" s="29">
        <v>2</v>
      </c>
      <c r="AX5" t="s">
        <v>94</v>
      </c>
      <c r="AY5" s="10">
        <v>1</v>
      </c>
      <c r="BA5" t="s">
        <v>95</v>
      </c>
      <c r="BD5" t="s">
        <v>96</v>
      </c>
      <c r="BE5" s="30">
        <v>46327</v>
      </c>
      <c r="BF5" s="41"/>
      <c r="BG5" t="s">
        <v>97</v>
      </c>
      <c r="BJ5" t="str">
        <f ca="1">IFERROR(INDEX($A$3:$A$22,_xludf.AGGREGATE(15,6,(ROW($A$3:$A$22)-ROW($A$3)+1)/(($B$3:$B$22="Freelance")*($A$3:$A$22&lt;&gt;"")),ROWS(BJ$3:BJ5))),"")</f>
        <v/>
      </c>
    </row>
    <row r="6" spans="1:62">
      <c r="A6" t="s">
        <v>98</v>
      </c>
      <c r="B6" t="s">
        <v>48</v>
      </c>
      <c r="C6" t="s">
        <v>99</v>
      </c>
      <c r="D6" s="9"/>
      <c r="E6" s="9"/>
      <c r="F6" t="str">
        <f t="shared" si="0"/>
        <v/>
      </c>
      <c r="K6" s="9"/>
      <c r="L6" s="9"/>
      <c r="Q6"/>
      <c r="R6"/>
      <c r="S6"/>
      <c r="T6"/>
      <c r="V6" t="s">
        <v>84</v>
      </c>
      <c r="Y6" t="s">
        <v>101</v>
      </c>
      <c r="AB6" t="s">
        <v>102</v>
      </c>
      <c r="AC6">
        <v>4</v>
      </c>
      <c r="AD6" s="10">
        <v>0.35</v>
      </c>
      <c r="AE6" s="42"/>
      <c r="AF6" t="s">
        <v>103</v>
      </c>
      <c r="AI6" t="s">
        <v>104</v>
      </c>
      <c r="AL6" t="s">
        <v>105</v>
      </c>
      <c r="AO6" t="s">
        <v>106</v>
      </c>
      <c r="AX6" t="s">
        <v>107</v>
      </c>
      <c r="AY6" s="10">
        <v>9.99</v>
      </c>
      <c r="BD6" t="s">
        <v>108</v>
      </c>
      <c r="BE6" s="30">
        <v>46357</v>
      </c>
      <c r="BF6" s="41"/>
      <c r="BG6" t="s">
        <v>109</v>
      </c>
      <c r="BJ6" t="str">
        <f ca="1">IFERROR(INDEX($A$3:$A$22,_xludf.AGGREGATE(15,6,(ROW($A$3:$A$22)-ROW($A$3)+1)/(($B$3:$B$22="Freelance")*($A$3:$A$22&lt;&gt;"")),ROWS(BJ$3:BJ6))),"")</f>
        <v/>
      </c>
    </row>
    <row r="7" spans="1:62">
      <c r="A7" t="s">
        <v>110</v>
      </c>
      <c r="B7" t="s">
        <v>48</v>
      </c>
      <c r="C7" t="s">
        <v>99</v>
      </c>
      <c r="D7" s="9"/>
      <c r="E7" s="9"/>
      <c r="F7" t="str">
        <f t="shared" si="0"/>
        <v/>
      </c>
      <c r="K7" s="9"/>
      <c r="L7" s="9"/>
      <c r="Q7"/>
      <c r="R7"/>
      <c r="S7"/>
      <c r="T7"/>
      <c r="V7" t="s">
        <v>99</v>
      </c>
      <c r="Y7" t="s">
        <v>111</v>
      </c>
      <c r="AB7" t="s">
        <v>112</v>
      </c>
      <c r="AC7">
        <v>5</v>
      </c>
      <c r="AD7" s="10">
        <v>0.2</v>
      </c>
      <c r="AE7" s="42"/>
      <c r="AF7" t="s">
        <v>113</v>
      </c>
      <c r="AI7" t="s">
        <v>114</v>
      </c>
      <c r="AL7" t="s">
        <v>115</v>
      </c>
      <c r="AO7" t="s">
        <v>116</v>
      </c>
      <c r="BE7" s="30"/>
      <c r="BF7" s="41"/>
      <c r="BG7" t="s">
        <v>117</v>
      </c>
      <c r="BJ7" t="str">
        <f ca="1">IFERROR(INDEX($A$3:$A$22,_xludf.AGGREGATE(15,6,(ROW($A$3:$A$22)-ROW($A$3)+1)/(($B$3:$B$22="Freelance")*($A$3:$A$22&lt;&gt;"")),ROWS(BJ$3:BJ7))),"")</f>
        <v/>
      </c>
    </row>
    <row r="8" spans="1:62">
      <c r="A8" t="s">
        <v>118</v>
      </c>
      <c r="B8" t="s">
        <v>48</v>
      </c>
      <c r="C8" t="s">
        <v>119</v>
      </c>
      <c r="D8" s="9"/>
      <c r="E8" s="9"/>
      <c r="F8" t="str">
        <f t="shared" si="0"/>
        <v/>
      </c>
      <c r="K8" s="9"/>
      <c r="L8" s="9"/>
      <c r="S8" t="str">
        <f t="shared" si="1"/>
        <v/>
      </c>
      <c r="V8" t="s">
        <v>119</v>
      </c>
      <c r="Y8" t="s">
        <v>120</v>
      </c>
      <c r="AB8" t="s">
        <v>121</v>
      </c>
      <c r="AC8">
        <v>6</v>
      </c>
      <c r="AD8" s="10">
        <v>0.15</v>
      </c>
      <c r="AE8" s="42"/>
      <c r="AF8" t="s">
        <v>122</v>
      </c>
      <c r="AI8" t="s">
        <v>123</v>
      </c>
      <c r="AO8" t="s">
        <v>124</v>
      </c>
      <c r="BE8" s="30"/>
      <c r="BF8" s="41"/>
      <c r="BG8" t="s">
        <v>125</v>
      </c>
      <c r="BJ8" t="str">
        <f ca="1">IFERROR(INDEX($A$3:$A$22,_xludf.AGGREGATE(15,6,(ROW($A$3:$A$22)-ROW($A$3)+1)/(($B$3:$B$22="Freelance")*($A$3:$A$22&lt;&gt;"")),ROWS(BJ$3:BJ8))),"")</f>
        <v/>
      </c>
    </row>
    <row r="9" spans="1:62">
      <c r="A9" t="s">
        <v>55</v>
      </c>
      <c r="B9" t="s">
        <v>48</v>
      </c>
      <c r="C9" t="s">
        <v>119</v>
      </c>
      <c r="D9" s="9"/>
      <c r="E9" s="9"/>
      <c r="F9" t="str">
        <f t="shared" si="0"/>
        <v/>
      </c>
      <c r="K9" s="9"/>
      <c r="L9" s="9"/>
      <c r="S9" t="str">
        <f t="shared" si="1"/>
        <v/>
      </c>
      <c r="V9" t="s">
        <v>126</v>
      </c>
      <c r="Y9" t="s">
        <v>127</v>
      </c>
      <c r="AB9" t="s">
        <v>128</v>
      </c>
      <c r="AC9">
        <v>7</v>
      </c>
      <c r="AD9" s="10">
        <v>0.1</v>
      </c>
      <c r="AE9" s="42"/>
      <c r="AI9" t="s">
        <v>129</v>
      </c>
      <c r="AO9" t="s">
        <v>130</v>
      </c>
      <c r="BE9" s="30"/>
      <c r="BF9" s="41"/>
      <c r="BJ9" t="str">
        <f ca="1">IFERROR(INDEX($A$3:$A$22,_xludf.AGGREGATE(15,6,(ROW($A$3:$A$22)-ROW($A$3)+1)/(($B$3:$B$22="Freelance")*($A$3:$A$22&lt;&gt;"")),ROWS(BJ$3:BJ9))),"")</f>
        <v/>
      </c>
    </row>
    <row r="10" spans="1:62">
      <c r="A10" t="s">
        <v>131</v>
      </c>
      <c r="B10" t="s">
        <v>132</v>
      </c>
      <c r="C10" t="s">
        <v>133</v>
      </c>
      <c r="D10" s="9">
        <v>46266</v>
      </c>
      <c r="E10" s="9">
        <v>46446</v>
      </c>
      <c r="F10">
        <f t="shared" si="0"/>
        <v>6</v>
      </c>
      <c r="K10" s="9"/>
      <c r="L10" s="9"/>
      <c r="S10" t="str">
        <f t="shared" si="1"/>
        <v/>
      </c>
      <c r="V10" t="s">
        <v>134</v>
      </c>
      <c r="Y10" t="s">
        <v>135</v>
      </c>
      <c r="AB10" t="s">
        <v>136</v>
      </c>
      <c r="AC10">
        <v>99</v>
      </c>
      <c r="AD10" s="10">
        <v>0</v>
      </c>
      <c r="AE10" s="42"/>
      <c r="AO10" t="s">
        <v>137</v>
      </c>
      <c r="BE10" s="30"/>
      <c r="BF10" s="41"/>
      <c r="BJ10" t="str">
        <f ca="1">IFERROR(INDEX($A$3:$A$22,_xludf.AGGREGATE(15,6,(ROW($A$3:$A$22)-ROW($A$3)+1)/(($B$3:$B$22="Freelance")*($A$3:$A$22&lt;&gt;"")),ROWS(BJ$3:BJ10))),"")</f>
        <v/>
      </c>
    </row>
    <row r="11" spans="1:62">
      <c r="A11" s="28" t="s">
        <v>138</v>
      </c>
      <c r="B11" s="28" t="s">
        <v>132</v>
      </c>
      <c r="C11" s="28" t="s">
        <v>133</v>
      </c>
      <c r="D11" s="9">
        <v>46266</v>
      </c>
      <c r="E11" s="9">
        <v>46446</v>
      </c>
      <c r="F11">
        <f t="shared" si="0"/>
        <v>6</v>
      </c>
      <c r="K11" s="9"/>
      <c r="L11" s="9"/>
      <c r="S11" t="str">
        <f t="shared" si="1"/>
        <v/>
      </c>
      <c r="V11" t="s">
        <v>133</v>
      </c>
      <c r="Y11" t="s">
        <v>139</v>
      </c>
      <c r="AO11" t="s">
        <v>140</v>
      </c>
      <c r="BE11" s="30"/>
      <c r="BF11" s="41"/>
      <c r="BJ11" t="str">
        <f ca="1">IFERROR(INDEX($A$3:$A$22,_xludf.AGGREGATE(15,6,(ROW($A$3:$A$22)-ROW($A$3)+1)/(($B$3:$B$22="Freelance")*($A$3:$A$22&lt;&gt;"")),ROWS(BJ$3:BJ11))),"")</f>
        <v/>
      </c>
    </row>
    <row r="12" spans="1:62">
      <c r="D12" s="9"/>
      <c r="E12" s="9"/>
      <c r="F12" t="str">
        <f t="shared" si="0"/>
        <v/>
      </c>
      <c r="K12" s="9"/>
      <c r="L12" s="9"/>
      <c r="S12" t="str">
        <f t="shared" si="1"/>
        <v/>
      </c>
      <c r="V12" t="s">
        <v>141</v>
      </c>
      <c r="Y12" t="s">
        <v>142</v>
      </c>
      <c r="AO12" t="s">
        <v>143</v>
      </c>
      <c r="BE12" s="30"/>
      <c r="BF12" s="41"/>
      <c r="BJ12" t="str">
        <f ca="1">IFERROR(INDEX($A$3:$A$22,_xludf.AGGREGATE(15,6,(ROW($A$3:$A$22)-ROW($A$3)+1)/(($B$3:$B$22="Freelance")*($A$3:$A$22&lt;&gt;"")),ROWS(BJ$3:BJ12))),"")</f>
        <v/>
      </c>
    </row>
    <row r="13" spans="1:62">
      <c r="D13" s="9"/>
      <c r="E13" s="9"/>
      <c r="F13" t="str">
        <f t="shared" si="0"/>
        <v/>
      </c>
      <c r="K13" s="9"/>
      <c r="L13" s="9"/>
      <c r="M13" t="str">
        <f>IF(OR(K13="",L13=""),"",((YEAR(L13)-YEAR(K13))*12+MONTH(L13)-MONTH(K13)+1))</f>
        <v/>
      </c>
      <c r="S13" t="str">
        <f t="shared" si="1"/>
        <v/>
      </c>
      <c r="V13" t="s">
        <v>144</v>
      </c>
      <c r="Y13" t="s">
        <v>145</v>
      </c>
      <c r="AO13" t="s">
        <v>146</v>
      </c>
      <c r="BE13" s="30"/>
      <c r="BF13" s="41"/>
      <c r="BJ13" t="str">
        <f ca="1">IFERROR(INDEX($A$3:$A$22,_xludf.AGGREGATE(15,6,(ROW($A$3:$A$22)-ROW($A$3)+1)/(($B$3:$B$22="Freelance")*($A$3:$A$22&lt;&gt;"")),ROWS(BJ$3:BJ13))),"")</f>
        <v/>
      </c>
    </row>
    <row r="14" spans="1:62">
      <c r="D14" s="9"/>
      <c r="E14" s="9"/>
      <c r="F14" t="str">
        <f t="shared" si="0"/>
        <v/>
      </c>
      <c r="K14" s="9"/>
      <c r="L14" s="9"/>
      <c r="M14" t="str">
        <f>IF(OR(K14="",L14=""),"",((YEAR(L14)-YEAR(K14))*12+MONTH(L14)-MONTH(K14)+1))</f>
        <v/>
      </c>
      <c r="S14" t="str">
        <f t="shared" si="1"/>
        <v/>
      </c>
      <c r="V14" t="s">
        <v>147</v>
      </c>
      <c r="AO14" t="s">
        <v>148</v>
      </c>
      <c r="BE14" s="30"/>
      <c r="BF14" s="41"/>
      <c r="BJ14" t="str">
        <f ca="1">IFERROR(INDEX($A$3:$A$22,_xludf.AGGREGATE(15,6,(ROW($A$3:$A$22)-ROW($A$3)+1)/(($B$3:$B$22="Freelance")*($A$3:$A$22&lt;&gt;"")),ROWS(BJ$3:BJ14))),"")</f>
        <v/>
      </c>
    </row>
    <row r="15" spans="1:62">
      <c r="D15" s="9"/>
      <c r="E15" s="9"/>
      <c r="F15" t="str">
        <f t="shared" si="0"/>
        <v/>
      </c>
      <c r="K15" s="9"/>
      <c r="L15" s="9"/>
      <c r="M15" t="str">
        <f>IF(OR(K15="",L15=""),"",((YEAR(L15)-YEAR(K15))*12+MONTH(L15)-MONTH(K15)+1))</f>
        <v/>
      </c>
      <c r="S15" t="str">
        <f t="shared" si="1"/>
        <v/>
      </c>
      <c r="V15" t="s">
        <v>149</v>
      </c>
      <c r="BE15" s="30"/>
      <c r="BF15" s="41"/>
      <c r="BJ15" t="str">
        <f ca="1">IFERROR(INDEX($A$3:$A$22,_xludf.AGGREGATE(15,6,(ROW($A$3:$A$22)-ROW($A$3)+1)/(($B$3:$B$22="Freelance")*($A$3:$A$22&lt;&gt;"")),ROWS(BJ$3:BJ15))),"")</f>
        <v/>
      </c>
    </row>
    <row r="16" spans="1:62">
      <c r="D16" s="9"/>
      <c r="E16" s="9"/>
      <c r="F16" t="str">
        <f t="shared" si="0"/>
        <v/>
      </c>
      <c r="K16" s="9"/>
      <c r="L16" s="9"/>
      <c r="M16" t="str">
        <f>IF(OR(K16="",L16=""),"",((YEAR(L16)-YEAR(K16))*12+MONTH(L16)-MONTH(K16)+1))</f>
        <v/>
      </c>
      <c r="S16" t="str">
        <f t="shared" si="1"/>
        <v/>
      </c>
      <c r="V16" t="s">
        <v>150</v>
      </c>
      <c r="BE16" s="30"/>
      <c r="BF16" s="41"/>
      <c r="BJ16" t="str">
        <f ca="1">IFERROR(INDEX($A$3:$A$22,_xludf.AGGREGATE(15,6,(ROW($A$3:$A$22)-ROW($A$3)+1)/(($B$3:$B$22="Freelance")*($A$3:$A$22&lt;&gt;"")),ROWS(BJ$3:BJ16))),"")</f>
        <v/>
      </c>
    </row>
    <row r="17" spans="4:62">
      <c r="D17" s="9"/>
      <c r="E17" s="9"/>
      <c r="F17" t="str">
        <f t="shared" si="0"/>
        <v/>
      </c>
      <c r="K17" s="9"/>
      <c r="L17" s="9"/>
      <c r="M17" t="str">
        <f>IF(OR(K17="",L17=""),"",((YEAR(L17)-YEAR(K17))*12+MONTH(L17)-MONTH(K17)+1))</f>
        <v/>
      </c>
      <c r="S17" t="str">
        <f t="shared" si="1"/>
        <v/>
      </c>
      <c r="V17" t="s">
        <v>68</v>
      </c>
      <c r="BE17" s="30"/>
      <c r="BF17" s="41"/>
      <c r="BJ17" t="str">
        <f ca="1">IFERROR(INDEX($A$3:$A$22,_xludf.AGGREGATE(15,6,(ROW($A$3:$A$22)-ROW($A$3)+1)/(($B$3:$B$22="Freelance")*($A$3:$A$22&lt;&gt;"")),ROWS(BJ$3:BJ17))),"")</f>
        <v/>
      </c>
    </row>
    <row r="18" spans="4:62">
      <c r="D18" s="9"/>
      <c r="E18" s="9"/>
      <c r="F18" t="str">
        <f t="shared" si="0"/>
        <v/>
      </c>
      <c r="S18" t="str">
        <f t="shared" si="1"/>
        <v/>
      </c>
      <c r="V18" t="s">
        <v>151</v>
      </c>
      <c r="BE18" s="30"/>
      <c r="BF18" s="41"/>
      <c r="BJ18" t="str">
        <f ca="1">IFERROR(INDEX($A$3:$A$22,_xludf.AGGREGATE(15,6,(ROW($A$3:$A$22)-ROW($A$3)+1)/(($B$3:$B$22="Freelance")*($A$3:$A$22&lt;&gt;"")),ROWS(BJ$3:BJ18))),"")</f>
        <v/>
      </c>
    </row>
    <row r="19" spans="4:62">
      <c r="D19" s="9"/>
      <c r="E19" s="9"/>
      <c r="F19" t="str">
        <f t="shared" si="0"/>
        <v/>
      </c>
      <c r="S19" t="str">
        <f t="shared" si="1"/>
        <v/>
      </c>
      <c r="V19" s="28" t="s">
        <v>152</v>
      </c>
      <c r="BJ19" t="str">
        <f ca="1">IFERROR(INDEX($A$3:$A$22,_xludf.AGGREGATE(15,6,(ROW($A$3:$A$22)-ROW($A$3)+1)/(($B$3:$B$22="Freelance")*($A$3:$A$22&lt;&gt;"")),ROWS(BJ$3:BJ19))),"")</f>
        <v/>
      </c>
    </row>
    <row r="20" spans="4:62">
      <c r="D20" s="9"/>
      <c r="E20" s="9"/>
      <c r="F20" t="str">
        <f t="shared" si="0"/>
        <v/>
      </c>
      <c r="S20" t="str">
        <f t="shared" si="1"/>
        <v/>
      </c>
      <c r="V20" s="28" t="s">
        <v>153</v>
      </c>
      <c r="BJ20" t="str">
        <f ca="1">IFERROR(INDEX($A$3:$A$22,_xludf.AGGREGATE(15,6,(ROW($A$3:$A$22)-ROW($A$3)+1)/(($B$3:$B$22="Freelance")*($A$3:$A$22&lt;&gt;"")),ROWS(BJ$3:BJ20))),"")</f>
        <v/>
      </c>
    </row>
    <row r="21" spans="4:62">
      <c r="D21" s="9"/>
      <c r="E21" s="9"/>
      <c r="F21" t="str">
        <f t="shared" si="0"/>
        <v/>
      </c>
      <c r="S21" t="str">
        <f t="shared" si="1"/>
        <v/>
      </c>
      <c r="BJ21" t="str">
        <f ca="1">IFERROR(INDEX($A$3:$A$22,_xludf.AGGREGATE(15,6,(ROW($A$3:$A$22)-ROW($A$3)+1)/(($B$3:$B$22="Freelance")*($A$3:$A$22&lt;&gt;"")),ROWS(BJ$3:BJ21))),"")</f>
        <v/>
      </c>
    </row>
    <row r="22" spans="4:62">
      <c r="D22" s="9"/>
      <c r="E22" s="9"/>
      <c r="F22" t="str">
        <f t="shared" si="0"/>
        <v/>
      </c>
      <c r="S22" t="str">
        <f t="shared" si="1"/>
        <v/>
      </c>
      <c r="BJ22" t="str">
        <f ca="1">IFERROR(INDEX($A$3:$A$22,_xludf.AGGREGATE(15,6,(ROW($A$3:$A$22)-ROW($A$3)+1)/(($B$3:$B$22="Freelance")*($A$3:$A$22&lt;&gt;"")),ROWS(BJ$3:BJ22))),"")</f>
        <v/>
      </c>
    </row>
    <row r="23" spans="4:62">
      <c r="S23" t="str">
        <f t="shared" si="1"/>
        <v/>
      </c>
    </row>
    <row r="24" spans="4:62">
      <c r="S24" t="str">
        <f t="shared" si="1"/>
        <v/>
      </c>
    </row>
    <row r="25" spans="4:62">
      <c r="S25" t="str">
        <f t="shared" si="1"/>
        <v/>
      </c>
    </row>
    <row r="26" spans="4:62">
      <c r="S26" t="str">
        <f t="shared" si="1"/>
        <v/>
      </c>
    </row>
    <row r="27" spans="4:62">
      <c r="S27" t="str">
        <f t="shared" si="1"/>
        <v/>
      </c>
    </row>
    <row r="28" spans="4:62">
      <c r="S28" t="str">
        <f t="shared" si="1"/>
        <v/>
      </c>
    </row>
    <row r="29" spans="4:62">
      <c r="S29" t="str">
        <f t="shared" si="1"/>
        <v/>
      </c>
    </row>
    <row r="30" spans="4:62">
      <c r="S30" t="str">
        <f t="shared" si="1"/>
        <v/>
      </c>
    </row>
    <row r="31" spans="4:62">
      <c r="S31" t="str">
        <f t="shared" si="1"/>
        <v/>
      </c>
    </row>
    <row r="32" spans="4:62">
      <c r="S32" t="str">
        <f t="shared" si="1"/>
        <v/>
      </c>
    </row>
    <row r="33" spans="19:19">
      <c r="S33" t="str">
        <f t="shared" si="1"/>
        <v/>
      </c>
    </row>
    <row r="34" spans="19:19">
      <c r="S34" t="str">
        <f t="shared" si="1"/>
        <v/>
      </c>
    </row>
    <row r="35" spans="19:19">
      <c r="S35" t="str">
        <f t="shared" ref="S35:S62" si="2">IFERROR(INDEX($I$3:$I$17,MATCH(R35,$H$3:$H$17,0)),"")</f>
        <v/>
      </c>
    </row>
    <row r="36" spans="19:19">
      <c r="S36" t="str">
        <f t="shared" si="2"/>
        <v/>
      </c>
    </row>
    <row r="37" spans="19:19">
      <c r="S37" t="str">
        <f t="shared" si="2"/>
        <v/>
      </c>
    </row>
    <row r="38" spans="19:19">
      <c r="S38" t="str">
        <f t="shared" si="2"/>
        <v/>
      </c>
    </row>
    <row r="39" spans="19:19">
      <c r="S39" t="str">
        <f t="shared" si="2"/>
        <v/>
      </c>
    </row>
    <row r="40" spans="19:19">
      <c r="S40" t="str">
        <f t="shared" si="2"/>
        <v/>
      </c>
    </row>
    <row r="41" spans="19:19">
      <c r="S41" t="str">
        <f t="shared" si="2"/>
        <v/>
      </c>
    </row>
    <row r="42" spans="19:19">
      <c r="S42" t="str">
        <f t="shared" si="2"/>
        <v/>
      </c>
    </row>
    <row r="43" spans="19:19">
      <c r="S43" t="str">
        <f t="shared" si="2"/>
        <v/>
      </c>
    </row>
    <row r="44" spans="19:19">
      <c r="S44" t="str">
        <f t="shared" si="2"/>
        <v/>
      </c>
    </row>
    <row r="45" spans="19:19">
      <c r="S45" t="str">
        <f t="shared" si="2"/>
        <v/>
      </c>
    </row>
    <row r="46" spans="19:19">
      <c r="S46" t="str">
        <f t="shared" si="2"/>
        <v/>
      </c>
    </row>
    <row r="47" spans="19:19">
      <c r="S47" t="str">
        <f t="shared" si="2"/>
        <v/>
      </c>
    </row>
    <row r="48" spans="19:19">
      <c r="S48" t="str">
        <f t="shared" si="2"/>
        <v/>
      </c>
    </row>
    <row r="49" spans="19:19">
      <c r="S49" t="str">
        <f t="shared" si="2"/>
        <v/>
      </c>
    </row>
    <row r="50" spans="19:19">
      <c r="S50" t="str">
        <f t="shared" si="2"/>
        <v/>
      </c>
    </row>
    <row r="51" spans="19:19">
      <c r="S51" t="str">
        <f t="shared" si="2"/>
        <v/>
      </c>
    </row>
    <row r="52" spans="19:19">
      <c r="S52" t="str">
        <f t="shared" si="2"/>
        <v/>
      </c>
    </row>
    <row r="53" spans="19:19">
      <c r="S53" t="str">
        <f t="shared" si="2"/>
        <v/>
      </c>
    </row>
    <row r="54" spans="19:19">
      <c r="S54" t="str">
        <f t="shared" si="2"/>
        <v/>
      </c>
    </row>
    <row r="55" spans="19:19">
      <c r="S55" t="str">
        <f t="shared" si="2"/>
        <v/>
      </c>
    </row>
    <row r="56" spans="19:19">
      <c r="S56" t="str">
        <f t="shared" si="2"/>
        <v/>
      </c>
    </row>
    <row r="57" spans="19:19">
      <c r="S57" t="str">
        <f t="shared" si="2"/>
        <v/>
      </c>
    </row>
    <row r="58" spans="19:19">
      <c r="S58" t="str">
        <f t="shared" si="2"/>
        <v/>
      </c>
    </row>
    <row r="59" spans="19:19">
      <c r="S59" t="str">
        <f t="shared" si="2"/>
        <v/>
      </c>
    </row>
    <row r="60" spans="19:19">
      <c r="S60" t="str">
        <f t="shared" si="2"/>
        <v/>
      </c>
    </row>
    <row r="61" spans="19:19">
      <c r="S61" t="str">
        <f t="shared" si="2"/>
        <v/>
      </c>
    </row>
    <row r="62" spans="19:19">
      <c r="S62" t="str">
        <f t="shared" si="2"/>
        <v/>
      </c>
    </row>
  </sheetData>
  <mergeCells count="16">
    <mergeCell ref="A1:F1"/>
    <mergeCell ref="BD1:BE1"/>
    <mergeCell ref="AI1:AJ1"/>
    <mergeCell ref="H1:O1"/>
    <mergeCell ref="V1:W1"/>
    <mergeCell ref="Q1:T1"/>
    <mergeCell ref="AB1:AD1"/>
    <mergeCell ref="AF1:AG1"/>
    <mergeCell ref="Y1:Z1"/>
    <mergeCell ref="BG1:BH1"/>
    <mergeCell ref="AR1:AS1"/>
    <mergeCell ref="AL1:AM1"/>
    <mergeCell ref="AU1:AV1"/>
    <mergeCell ref="BA1:BB1"/>
    <mergeCell ref="AO1:AP1"/>
    <mergeCell ref="AX1:AY1"/>
  </mergeCells>
  <conditionalFormatting sqref="D3:F22">
    <cfRule type="expression" dxfId="157" priority="1">
      <formula>$B3&lt;&gt;"Intern"</formula>
    </cfRule>
  </conditionalFormatting>
  <conditionalFormatting sqref="N3:N17">
    <cfRule type="expression" dxfId="156" priority="2">
      <formula>N3="On Hold"</formula>
    </cfRule>
  </conditionalFormatting>
  <dataValidations count="10">
    <dataValidation type="list" sqref="B3:B22" xr:uid="{00000000-0002-0000-0000-000000000000}">
      <formula1>"Permanent,Intern,Freelance"</formula1>
    </dataValidation>
    <dataValidation type="date" sqref="D3:D22" xr:uid="{00000000-0002-0000-0000-000002000000}">
      <formula1>IF($B3="Intern",DATE(2020,1,1),DATE(9999,1,1))</formula1>
      <formula2>IF($B3="Intern",DATE(2099,12,31),DATE(9999,1,1))</formula2>
    </dataValidation>
    <dataValidation type="date" sqref="E3:E22" xr:uid="{00000000-0002-0000-0000-000003000000}">
      <formula1>IF($B3="Intern",$D3,DATE(9999,1,1))</formula1>
      <formula2>IF($B3="Intern",DATE(2099,12,31),DATE(9999,1,1))</formula2>
    </dataValidation>
    <dataValidation type="list" sqref="J3:J17" xr:uid="{00000000-0002-0000-0000-000004000000}">
      <formula1>DV_ProjectType</formula1>
    </dataValidation>
    <dataValidation type="list" sqref="N3:N17" xr:uid="{00000000-0002-0000-0000-000005000000}">
      <formula1>DV_ProjectStatus</formula1>
    </dataValidation>
    <dataValidation type="list" sqref="Q3:Q62" xr:uid="{00000000-0002-0000-0000-000006000000}">
      <formula1>DV_Freelancer</formula1>
    </dataValidation>
    <dataValidation type="list" sqref="R3:R62" xr:uid="{00000000-0002-0000-0000-000007000000}">
      <formula1>DV_ProjectID</formula1>
    </dataValidation>
    <dataValidation type="list" sqref="T3:T62" xr:uid="{00000000-0002-0000-0000-000008000000}">
      <formula1>DV_MappingStatus</formula1>
    </dataValidation>
    <dataValidation type="list" sqref="O3:P17" xr:uid="{00000000-0002-0000-0000-000009000000}">
      <formula1>DV_ProjectSize</formula1>
    </dataValidation>
    <dataValidation type="list" allowBlank="1" showInputMessage="1" showErrorMessage="1" sqref="C3:C1048576" xr:uid="{013FEFB7-A2D9-477D-9F6A-586D8C7EB4EC}">
      <formula1>DV_Role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L62"/>
  <sheetViews>
    <sheetView workbookViewId="0">
      <pane ySplit="2" topLeftCell="A3" activePane="bottomLeft" state="frozen"/>
      <selection pane="bottomLeft" activeCell="A3" sqref="A3"/>
    </sheetView>
  </sheetViews>
  <sheetFormatPr defaultRowHeight="14"/>
  <cols>
    <col min="1" max="1" width="11" style="18" customWidth="1"/>
    <col min="2" max="2" width="29" style="18" customWidth="1"/>
    <col min="3" max="3" width="17" style="18" customWidth="1"/>
    <col min="4" max="4" width="15" style="18" customWidth="1"/>
    <col min="5" max="6" width="27" style="18" customWidth="1"/>
    <col min="7" max="7" width="15.1640625" style="18" bestFit="1" customWidth="1"/>
    <col min="8" max="10" width="11" style="18" customWidth="1"/>
    <col min="11" max="11" width="22" style="18" customWidth="1"/>
    <col min="12" max="12" width="19" bestFit="1" customWidth="1"/>
    <col min="13" max="13" width="17" style="18" customWidth="1"/>
    <col min="14" max="14" width="14" style="18" customWidth="1"/>
    <col min="15" max="15" width="27" style="18" hidden="1" customWidth="1"/>
    <col min="16" max="16" width="16" style="18" hidden="1" customWidth="1"/>
    <col min="17" max="17" width="12" style="18" hidden="1" customWidth="1"/>
    <col min="18" max="18" width="11" style="18" hidden="1" customWidth="1"/>
    <col min="19" max="19" width="14" style="18" hidden="1" customWidth="1"/>
    <col min="20" max="20" width="12" style="18" hidden="1" customWidth="1"/>
    <col min="21" max="21" width="11" style="18" hidden="1" customWidth="1"/>
    <col min="22" max="22" width="14" style="18" hidden="1" customWidth="1"/>
    <col min="23" max="23" width="12" style="18" hidden="1" customWidth="1"/>
    <col min="24" max="24" width="11" style="18" hidden="1" customWidth="1"/>
    <col min="25" max="25" width="14" style="18" hidden="1" customWidth="1"/>
    <col min="26" max="26" width="12" style="18" hidden="1" customWidth="1"/>
    <col min="27" max="27" width="11" style="18" hidden="1" customWidth="1"/>
    <col min="28" max="28" width="14" style="18" hidden="1" customWidth="1"/>
    <col min="29" max="48" width="13" style="18" hidden="1" customWidth="1"/>
    <col min="49" max="49" width="3" style="18" hidden="1" customWidth="1"/>
    <col min="50" max="64" width="13" style="18" hidden="1" customWidth="1"/>
  </cols>
  <sheetData>
    <row r="1" spans="1:28" ht="19" customHeight="1">
      <c r="A1" s="70" t="s">
        <v>165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</row>
    <row r="2" spans="1:28">
      <c r="A2" s="1" t="s">
        <v>24</v>
      </c>
      <c r="B2" s="1" t="s">
        <v>25</v>
      </c>
      <c r="C2" s="1" t="s">
        <v>36</v>
      </c>
      <c r="D2" s="1" t="s">
        <v>166</v>
      </c>
      <c r="E2" s="1" t="s">
        <v>167</v>
      </c>
      <c r="F2" s="1" t="s">
        <v>20</v>
      </c>
      <c r="G2" s="1" t="s">
        <v>168</v>
      </c>
      <c r="H2" s="1" t="s">
        <v>31</v>
      </c>
      <c r="I2" s="1" t="s">
        <v>169</v>
      </c>
      <c r="J2" s="1" t="s">
        <v>170</v>
      </c>
      <c r="K2" s="1" t="s">
        <v>171</v>
      </c>
      <c r="L2" s="1" t="s">
        <v>172</v>
      </c>
      <c r="M2" s="1" t="s">
        <v>173</v>
      </c>
      <c r="N2" s="1" t="s">
        <v>35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A3" t="s">
        <v>50</v>
      </c>
      <c r="B3" t="str">
        <f>IFERROR(INDEX(Setup!$I$3:$I$17,MATCH($A3,Setup!$H$3:$H$17,0)),"")</f>
        <v>Rumah Pak Nata</v>
      </c>
      <c r="C3" t="s">
        <v>75</v>
      </c>
      <c r="D3" t="s">
        <v>47</v>
      </c>
      <c r="E3" t="str">
        <f>IFERROR(INDEX(Setup!$B$3:$B$22,MATCH($D3,Setup!$A$3:$A$22,0)),"")</f>
        <v>Permanent</v>
      </c>
      <c r="F3" t="str">
        <f>IFERROR(INDEX(Setup!$C$3:$C$22,MATCH($D3,Setup!$A$3:$A$22,0)),"")</f>
        <v>Principal Architect</v>
      </c>
      <c r="G3" s="10" t="s">
        <v>49</v>
      </c>
      <c r="H3" s="10" t="str">
        <f>IFERROR(INDEX(Setup!$O$3:$O$17,MATCH($A3,Setup!$H$3:$H$17,0)),"")</f>
        <v>Big</v>
      </c>
      <c r="I3" s="36">
        <f>IFERROR(INDEX(Setup!$AV$3:$AV$5,MATCH(H3,Setup!$AU$3:$AU$5,0)),1)</f>
        <v>2</v>
      </c>
      <c r="J3" s="10">
        <f>IFERROR(INDEX(Setup!$AD$3:$AD$20,MATCH(C3,Setup!$AB$3:$AB$20,0)),0)</f>
        <v>0.2</v>
      </c>
      <c r="K3" s="10">
        <f t="shared" ref="K3:K7" si="0">J3*I3</f>
        <v>0.4</v>
      </c>
      <c r="L3">
        <f t="shared" ref="L3:L7" si="1">COUNTIFS($A$3:$A$62,A3,$C$3:$C$62,C3)</f>
        <v>3</v>
      </c>
      <c r="M3" s="10">
        <f t="shared" ref="M3:M7" si="2">IFERROR(K3/L3,0)</f>
        <v>0.13333333333333333</v>
      </c>
      <c r="R3" s="10"/>
      <c r="U3" s="10"/>
      <c r="X3" s="10"/>
      <c r="AA3" s="10"/>
    </row>
    <row r="4" spans="1:28">
      <c r="A4" t="s">
        <v>50</v>
      </c>
      <c r="B4" t="str">
        <f>IFERROR(INDEX(Setup!$I$3:$I$17,MATCH($A4,Setup!$H$3:$H$17,0)),"")</f>
        <v>Rumah Pak Nata</v>
      </c>
      <c r="C4" t="s">
        <v>75</v>
      </c>
      <c r="D4" t="s">
        <v>83</v>
      </c>
      <c r="E4" t="str">
        <f>IFERROR(INDEX(Setup!$B$3:$B$22,MATCH($D4,Setup!$A$3:$A$22,0)),"")</f>
        <v>Permanent</v>
      </c>
      <c r="F4" t="str">
        <f>IFERROR(INDEX(Setup!$C$3:$C$22,MATCH($D4,Setup!$A$3:$A$22,0)),"")</f>
        <v>Senior Architect</v>
      </c>
      <c r="G4" s="10" t="s">
        <v>99</v>
      </c>
      <c r="H4" s="10" t="str">
        <f>IFERROR(INDEX(Setup!$O$3:$O$17,MATCH($A4,Setup!$H$3:$H$17,0)),"")</f>
        <v>Big</v>
      </c>
      <c r="I4" s="36">
        <f>IFERROR(INDEX(Setup!$AV$3:$AV$5,MATCH(H4,Setup!$AU$3:$AU$5,0)),1)</f>
        <v>2</v>
      </c>
      <c r="J4" s="10">
        <f>IFERROR(INDEX(Setup!$AD$3:$AD$20,MATCH(C4,Setup!$AB$3:$AB$20,0)),0)</f>
        <v>0.2</v>
      </c>
      <c r="K4" s="10">
        <f t="shared" si="0"/>
        <v>0.4</v>
      </c>
      <c r="L4">
        <f t="shared" si="1"/>
        <v>3</v>
      </c>
      <c r="M4" s="10">
        <f t="shared" si="2"/>
        <v>0.13333333333333333</v>
      </c>
      <c r="R4" s="10"/>
      <c r="U4" s="10"/>
      <c r="X4" s="10"/>
      <c r="AA4" s="10"/>
    </row>
    <row r="5" spans="1:28">
      <c r="A5" t="s">
        <v>50</v>
      </c>
      <c r="B5" t="str">
        <f>IFERROR(INDEX(Setup!$I$3:$I$17,MATCH($A5,Setup!$H$3:$H$17,0)),"")</f>
        <v>Rumah Pak Nata</v>
      </c>
      <c r="C5" t="s">
        <v>75</v>
      </c>
      <c r="D5" t="s">
        <v>98</v>
      </c>
      <c r="E5" t="str">
        <f>IFERROR(INDEX(Setup!$B$3:$B$22,MATCH($D5,Setup!$A$3:$A$22,0)),"")</f>
        <v>Permanent</v>
      </c>
      <c r="F5" t="str">
        <f>IFERROR(INDEX(Setup!$C$3:$C$22,MATCH($D5,Setup!$A$3:$A$22,0)),"")</f>
        <v>Architect</v>
      </c>
      <c r="G5" s="10" t="s">
        <v>99</v>
      </c>
      <c r="H5" s="10" t="str">
        <f>IFERROR(INDEX(Setup!$O$3:$O$17,MATCH($A5,Setup!$H$3:$H$17,0)),"")</f>
        <v>Big</v>
      </c>
      <c r="I5" s="36">
        <f>IFERROR(INDEX(Setup!$AV$3:$AV$5,MATCH(H5,Setup!$AU$3:$AU$5,0)),1)</f>
        <v>2</v>
      </c>
      <c r="J5" s="10">
        <f>IFERROR(INDEX(Setup!$AD$3:$AD$20,MATCH(C5,Setup!$AB$3:$AB$20,0)),0)</f>
        <v>0.2</v>
      </c>
      <c r="K5" s="10">
        <f t="shared" si="0"/>
        <v>0.4</v>
      </c>
      <c r="L5">
        <f t="shared" si="1"/>
        <v>3</v>
      </c>
      <c r="M5" s="10">
        <f t="shared" si="2"/>
        <v>0.13333333333333333</v>
      </c>
      <c r="R5" s="10"/>
      <c r="U5" s="10"/>
      <c r="X5" s="10"/>
      <c r="AA5" s="10"/>
    </row>
    <row r="6" spans="1:28">
      <c r="A6" t="s">
        <v>50</v>
      </c>
      <c r="B6" t="str">
        <f>IFERROR(INDEX(Setup!$I$3:$I$17,MATCH($A6,Setup!$H$3:$H$17,0)),"")</f>
        <v>Rumah Pak Nata</v>
      </c>
      <c r="C6" t="s">
        <v>88</v>
      </c>
      <c r="D6" t="s">
        <v>83</v>
      </c>
      <c r="E6" t="str">
        <f>IFERROR(INDEX(Setup!$B$3:$B$22,MATCH($D6,Setup!$A$3:$A$22,0)),"")</f>
        <v>Permanent</v>
      </c>
      <c r="F6" t="str">
        <f>IFERROR(INDEX(Setup!$C$3:$C$22,MATCH($D6,Setup!$A$3:$A$22,0)),"")</f>
        <v>Senior Architect</v>
      </c>
      <c r="G6" s="10" t="s">
        <v>99</v>
      </c>
      <c r="H6" s="10" t="str">
        <f>IFERROR(INDEX(Setup!$O$3:$O$17,MATCH($A6,Setup!$H$3:$H$17,0)),"")</f>
        <v>Big</v>
      </c>
      <c r="I6" s="36">
        <f>IFERROR(INDEX(Setup!$AV$3:$AV$5,MATCH(H6,Setup!$AU$3:$AU$5,0)),1)</f>
        <v>2</v>
      </c>
      <c r="J6" s="10">
        <f>IFERROR(INDEX(Setup!$AD$3:$AD$20,MATCH(C6,Setup!$AB$3:$AB$20,0)),0)</f>
        <v>0.3</v>
      </c>
      <c r="K6" s="10">
        <f t="shared" si="0"/>
        <v>0.6</v>
      </c>
      <c r="L6">
        <f t="shared" si="1"/>
        <v>2</v>
      </c>
      <c r="M6" s="10">
        <f t="shared" si="2"/>
        <v>0.3</v>
      </c>
      <c r="R6" s="10"/>
      <c r="U6" s="10"/>
      <c r="X6" s="10"/>
      <c r="AA6" s="10"/>
    </row>
    <row r="7" spans="1:28">
      <c r="A7" t="s">
        <v>50</v>
      </c>
      <c r="B7" t="str">
        <f>IFERROR(INDEX(Setup!$I$3:$I$17,MATCH($A7,Setup!$H$3:$H$17,0)),"")</f>
        <v>Rumah Pak Nata</v>
      </c>
      <c r="C7" t="s">
        <v>88</v>
      </c>
      <c r="D7" t="s">
        <v>98</v>
      </c>
      <c r="E7" t="str">
        <f>IFERROR(INDEX(Setup!$B$3:$B$22,MATCH($D7,Setup!$A$3:$A$22,0)),"")</f>
        <v>Permanent</v>
      </c>
      <c r="F7" t="str">
        <f>IFERROR(INDEX(Setup!$C$3:$C$22,MATCH($D7,Setup!$A$3:$A$22,0)),"")</f>
        <v>Architect</v>
      </c>
      <c r="G7" s="10" t="s">
        <v>99</v>
      </c>
      <c r="H7" s="10" t="str">
        <f>IFERROR(INDEX(Setup!$O$3:$O$17,MATCH($A7,Setup!$H$3:$H$17,0)),"")</f>
        <v>Big</v>
      </c>
      <c r="I7" s="36">
        <f>IFERROR(INDEX(Setup!$AV$3:$AV$5,MATCH(H7,Setup!$AU$3:$AU$5,0)),1)</f>
        <v>2</v>
      </c>
      <c r="J7" s="10">
        <f>IFERROR(INDEX(Setup!$AD$3:$AD$20,MATCH(C7,Setup!$AB$3:$AB$20,0)),0)</f>
        <v>0.3</v>
      </c>
      <c r="K7" s="10">
        <f t="shared" si="0"/>
        <v>0.6</v>
      </c>
      <c r="L7">
        <f t="shared" si="1"/>
        <v>2</v>
      </c>
      <c r="M7" s="10">
        <f t="shared" si="2"/>
        <v>0.3</v>
      </c>
      <c r="R7" s="10"/>
      <c r="U7" s="10"/>
      <c r="X7" s="10"/>
      <c r="AA7" s="10"/>
    </row>
    <row r="8" spans="1:28">
      <c r="G8" s="10"/>
      <c r="H8" s="10"/>
      <c r="I8" s="36"/>
      <c r="J8" s="10"/>
      <c r="K8" s="10"/>
      <c r="M8" s="10"/>
      <c r="R8" s="10"/>
      <c r="U8" s="10"/>
      <c r="X8" s="10"/>
      <c r="AA8" s="10"/>
    </row>
    <row r="9" spans="1:28">
      <c r="G9" s="10"/>
      <c r="H9" s="10"/>
      <c r="I9" s="36"/>
      <c r="J9" s="10"/>
      <c r="K9" s="10"/>
      <c r="M9" s="10"/>
      <c r="R9" s="10"/>
      <c r="U9" s="10"/>
      <c r="X9" s="10"/>
      <c r="AA9" s="10"/>
    </row>
    <row r="10" spans="1:28">
      <c r="G10" s="10"/>
      <c r="H10" s="10"/>
      <c r="I10" s="36"/>
      <c r="J10" s="10"/>
      <c r="K10" s="10"/>
      <c r="M10" s="10"/>
      <c r="R10" s="10"/>
      <c r="U10" s="10"/>
      <c r="X10" s="10"/>
      <c r="AA10" s="10"/>
    </row>
    <row r="11" spans="1:28">
      <c r="G11" s="10"/>
      <c r="H11" s="10"/>
      <c r="I11" s="36"/>
      <c r="J11" s="10"/>
      <c r="K11" s="10"/>
      <c r="M11" s="10"/>
      <c r="R11" s="10"/>
      <c r="U11" s="10"/>
      <c r="X11" s="10"/>
      <c r="AA11" s="10"/>
    </row>
    <row r="12" spans="1:28">
      <c r="G12" s="10"/>
      <c r="H12" s="10"/>
      <c r="I12" s="36"/>
      <c r="J12" s="10"/>
      <c r="K12" s="10"/>
      <c r="M12" s="10"/>
      <c r="R12" s="10"/>
      <c r="U12" s="10"/>
      <c r="X12" s="10"/>
      <c r="AA12" s="10"/>
    </row>
    <row r="13" spans="1:28">
      <c r="G13" s="10"/>
      <c r="H13" s="10"/>
      <c r="I13" s="36"/>
      <c r="J13" s="10"/>
      <c r="K13" s="10"/>
      <c r="M13" s="10"/>
      <c r="R13" s="10"/>
      <c r="U13" s="10"/>
      <c r="X13" s="10"/>
      <c r="AA13" s="10"/>
    </row>
    <row r="14" spans="1:28">
      <c r="G14" s="10"/>
      <c r="H14" s="10"/>
      <c r="I14" s="36"/>
      <c r="J14" s="10"/>
      <c r="K14" s="10"/>
      <c r="M14" s="10"/>
      <c r="R14" s="10"/>
      <c r="U14" s="10"/>
      <c r="X14" s="10"/>
      <c r="AA14" s="10"/>
    </row>
    <row r="15" spans="1:28">
      <c r="G15" s="10"/>
      <c r="H15" s="10"/>
      <c r="I15" s="36"/>
      <c r="J15" s="10"/>
      <c r="K15" s="10"/>
      <c r="M15" s="10"/>
      <c r="R15" s="10"/>
      <c r="U15" s="10"/>
      <c r="X15" s="10"/>
      <c r="AA15" s="10"/>
    </row>
    <row r="16" spans="1:28">
      <c r="G16" s="10"/>
      <c r="H16" s="10"/>
      <c r="I16" s="36"/>
      <c r="J16" s="10"/>
      <c r="K16" s="10"/>
      <c r="M16" s="10"/>
      <c r="R16" s="10"/>
      <c r="U16" s="10"/>
      <c r="X16" s="10"/>
      <c r="AA16" s="10"/>
    </row>
    <row r="17" spans="7:27">
      <c r="G17" s="10"/>
      <c r="H17" s="10"/>
      <c r="I17" s="36"/>
      <c r="J17" s="10"/>
      <c r="K17" s="10"/>
      <c r="M17" s="10"/>
      <c r="R17" s="10"/>
      <c r="U17" s="10"/>
      <c r="X17" s="10"/>
      <c r="AA17" s="10"/>
    </row>
    <row r="18" spans="7:27">
      <c r="G18" s="10"/>
      <c r="H18" s="10"/>
      <c r="I18" s="36"/>
      <c r="J18" s="10"/>
      <c r="K18" s="10"/>
      <c r="M18" s="10"/>
      <c r="R18" s="10"/>
      <c r="U18" s="10"/>
      <c r="X18" s="10"/>
      <c r="AA18" s="10"/>
    </row>
    <row r="19" spans="7:27">
      <c r="G19" s="10"/>
      <c r="H19" s="10"/>
      <c r="I19" s="36"/>
      <c r="J19" s="10"/>
      <c r="K19" s="10"/>
      <c r="M19" s="10"/>
      <c r="R19" s="10"/>
      <c r="U19" s="10"/>
      <c r="X19" s="10"/>
      <c r="AA19" s="10"/>
    </row>
    <row r="20" spans="7:27">
      <c r="G20" s="10"/>
      <c r="H20" s="10"/>
      <c r="I20" s="36"/>
      <c r="J20" s="10"/>
      <c r="K20" s="10"/>
      <c r="M20" s="10"/>
      <c r="R20" s="10"/>
      <c r="U20" s="10"/>
      <c r="X20" s="10"/>
      <c r="AA20" s="10"/>
    </row>
    <row r="21" spans="7:27">
      <c r="G21" s="10"/>
      <c r="H21" s="10"/>
      <c r="I21" s="36"/>
      <c r="J21" s="10"/>
      <c r="K21" s="10"/>
      <c r="M21" s="10"/>
      <c r="R21" s="10"/>
      <c r="U21" s="10"/>
      <c r="X21" s="10"/>
      <c r="AA21" s="10"/>
    </row>
    <row r="22" spans="7:27">
      <c r="G22" s="10"/>
      <c r="H22" s="10"/>
      <c r="I22" s="36"/>
      <c r="J22" s="10"/>
      <c r="K22" s="10"/>
      <c r="M22" s="10"/>
      <c r="R22" s="10"/>
      <c r="U22" s="10"/>
      <c r="X22" s="10"/>
      <c r="AA22" s="10"/>
    </row>
    <row r="23" spans="7:27">
      <c r="G23" s="10"/>
      <c r="H23" s="10"/>
      <c r="I23" s="36"/>
      <c r="J23" s="10"/>
      <c r="K23" s="10"/>
      <c r="M23" s="10"/>
    </row>
    <row r="24" spans="7:27">
      <c r="G24" s="10"/>
      <c r="H24" s="10"/>
      <c r="I24" s="36"/>
      <c r="J24" s="10"/>
      <c r="K24" s="10"/>
      <c r="M24" s="10"/>
    </row>
    <row r="25" spans="7:27">
      <c r="G25" s="10"/>
      <c r="H25" s="10"/>
      <c r="I25" s="36"/>
      <c r="J25" s="10"/>
      <c r="K25" s="10"/>
      <c r="M25" s="10"/>
    </row>
    <row r="26" spans="7:27">
      <c r="G26" s="10"/>
      <c r="H26" s="10"/>
      <c r="I26" s="36"/>
      <c r="J26" s="10"/>
      <c r="K26" s="10"/>
      <c r="M26" s="10"/>
    </row>
    <row r="27" spans="7:27">
      <c r="G27" s="10"/>
      <c r="H27" s="10"/>
      <c r="I27" s="36"/>
      <c r="J27" s="10"/>
      <c r="K27" s="10"/>
      <c r="M27" s="10"/>
    </row>
    <row r="28" spans="7:27">
      <c r="G28" s="10"/>
      <c r="H28" s="10"/>
      <c r="I28" s="36"/>
      <c r="J28" s="10"/>
      <c r="K28" s="10"/>
      <c r="M28" s="10"/>
    </row>
    <row r="29" spans="7:27">
      <c r="G29" s="10"/>
      <c r="H29" s="10"/>
      <c r="I29" s="36"/>
      <c r="J29" s="10"/>
      <c r="K29" s="10"/>
      <c r="M29" s="10"/>
    </row>
    <row r="30" spans="7:27">
      <c r="G30" s="10"/>
      <c r="H30" s="10"/>
      <c r="I30" s="36"/>
      <c r="J30" s="10"/>
      <c r="K30" s="10"/>
      <c r="M30" s="10"/>
    </row>
    <row r="31" spans="7:27">
      <c r="G31" s="10"/>
      <c r="H31" s="10"/>
      <c r="I31" s="36"/>
      <c r="J31" s="10"/>
      <c r="K31" s="10"/>
      <c r="M31" s="10"/>
    </row>
    <row r="32" spans="7:27">
      <c r="G32" s="10"/>
      <c r="H32" s="10"/>
      <c r="I32" s="36"/>
      <c r="J32" s="10"/>
      <c r="K32" s="10"/>
      <c r="M32" s="10"/>
    </row>
    <row r="33" spans="7:13">
      <c r="G33" s="10"/>
      <c r="H33" s="10"/>
      <c r="I33" s="36"/>
      <c r="J33" s="10"/>
      <c r="K33" s="10"/>
      <c r="M33" s="10"/>
    </row>
    <row r="34" spans="7:13">
      <c r="G34" s="10"/>
      <c r="H34" s="10"/>
      <c r="I34" s="36"/>
      <c r="J34" s="10"/>
      <c r="K34" s="10"/>
      <c r="M34" s="10"/>
    </row>
    <row r="35" spans="7:13">
      <c r="G35" s="10"/>
      <c r="H35" s="10"/>
      <c r="I35" s="36"/>
      <c r="J35" s="10"/>
      <c r="K35" s="10"/>
      <c r="M35" s="10"/>
    </row>
    <row r="36" spans="7:13">
      <c r="G36" s="10"/>
      <c r="H36" s="10"/>
      <c r="I36" s="36"/>
      <c r="J36" s="10"/>
      <c r="K36" s="10"/>
      <c r="M36" s="10"/>
    </row>
    <row r="37" spans="7:13">
      <c r="G37" s="10"/>
      <c r="H37" s="10"/>
      <c r="I37" s="36"/>
      <c r="J37" s="10"/>
      <c r="K37" s="10"/>
      <c r="M37" s="10"/>
    </row>
    <row r="38" spans="7:13">
      <c r="G38" s="10"/>
      <c r="H38" s="10"/>
      <c r="I38" s="36"/>
      <c r="J38" s="10"/>
      <c r="K38" s="10"/>
      <c r="M38" s="10"/>
    </row>
    <row r="39" spans="7:13">
      <c r="G39" s="10"/>
      <c r="H39" s="10"/>
      <c r="I39" s="36"/>
      <c r="J39" s="10"/>
      <c r="K39" s="10"/>
      <c r="M39" s="10"/>
    </row>
    <row r="40" spans="7:13">
      <c r="G40" s="10"/>
      <c r="H40" s="10"/>
      <c r="I40" s="36"/>
      <c r="J40" s="10"/>
      <c r="K40" s="10"/>
      <c r="M40" s="10"/>
    </row>
    <row r="41" spans="7:13">
      <c r="G41" s="10"/>
      <c r="H41" s="10"/>
      <c r="I41" s="36"/>
      <c r="J41" s="10"/>
      <c r="K41" s="10"/>
      <c r="M41" s="10"/>
    </row>
    <row r="42" spans="7:13">
      <c r="G42" s="10"/>
      <c r="H42" s="10"/>
      <c r="I42" s="36"/>
      <c r="J42" s="10"/>
      <c r="K42" s="10"/>
      <c r="M42" s="10"/>
    </row>
    <row r="43" spans="7:13">
      <c r="G43" s="10"/>
      <c r="H43" s="10"/>
      <c r="I43" s="36"/>
      <c r="J43" s="10"/>
      <c r="K43" s="10"/>
      <c r="M43" s="10"/>
    </row>
    <row r="44" spans="7:13">
      <c r="G44" s="10"/>
      <c r="H44" s="10"/>
      <c r="I44" s="36"/>
      <c r="J44" s="10"/>
      <c r="K44" s="10"/>
      <c r="M44" s="10"/>
    </row>
    <row r="45" spans="7:13">
      <c r="G45" s="10"/>
      <c r="H45" s="10"/>
      <c r="I45" s="36"/>
      <c r="J45" s="10"/>
      <c r="K45" s="10"/>
      <c r="M45" s="10"/>
    </row>
    <row r="46" spans="7:13">
      <c r="G46" s="10"/>
      <c r="H46" s="10"/>
      <c r="I46" s="36"/>
      <c r="J46" s="10"/>
      <c r="K46" s="10"/>
      <c r="M46" s="10"/>
    </row>
    <row r="47" spans="7:13">
      <c r="G47" s="10"/>
      <c r="H47" s="10"/>
      <c r="I47" s="36"/>
      <c r="J47" s="10"/>
      <c r="K47" s="10"/>
      <c r="M47" s="10"/>
    </row>
    <row r="48" spans="7:13">
      <c r="G48" s="10"/>
      <c r="H48" s="10"/>
      <c r="I48" s="36"/>
      <c r="J48" s="10"/>
      <c r="K48" s="10"/>
      <c r="M48" s="10"/>
    </row>
    <row r="49" spans="7:13">
      <c r="G49" s="10"/>
      <c r="H49" s="10"/>
      <c r="I49" s="36"/>
      <c r="J49" s="10"/>
      <c r="K49" s="10"/>
      <c r="M49" s="10"/>
    </row>
    <row r="50" spans="7:13">
      <c r="G50" s="10"/>
      <c r="H50" s="10"/>
      <c r="I50" s="36"/>
      <c r="J50" s="10"/>
      <c r="K50" s="10"/>
      <c r="M50" s="10"/>
    </row>
    <row r="51" spans="7:13">
      <c r="G51" s="10"/>
      <c r="H51" s="10"/>
      <c r="I51" s="36"/>
      <c r="J51" s="10"/>
      <c r="K51" s="10"/>
      <c r="M51" s="10"/>
    </row>
    <row r="52" spans="7:13">
      <c r="G52" s="10"/>
      <c r="H52" s="10"/>
      <c r="I52" s="36"/>
      <c r="J52" s="10"/>
      <c r="K52" s="10"/>
      <c r="M52" s="10"/>
    </row>
    <row r="53" spans="7:13">
      <c r="G53" s="10"/>
      <c r="H53" s="10"/>
      <c r="I53" s="36"/>
      <c r="J53" s="10"/>
      <c r="K53" s="10"/>
      <c r="M53" s="10"/>
    </row>
    <row r="54" spans="7:13">
      <c r="G54" s="10"/>
      <c r="H54" s="10"/>
      <c r="I54" s="36"/>
      <c r="J54" s="10"/>
      <c r="K54" s="10"/>
      <c r="M54" s="10"/>
    </row>
    <row r="55" spans="7:13">
      <c r="G55" s="10"/>
      <c r="H55" s="10"/>
      <c r="I55" s="36"/>
      <c r="J55" s="10"/>
      <c r="K55" s="10"/>
      <c r="M55" s="10"/>
    </row>
    <row r="56" spans="7:13">
      <c r="G56" s="10"/>
      <c r="H56" s="10"/>
      <c r="I56" s="36"/>
      <c r="J56" s="10"/>
      <c r="K56" s="10"/>
      <c r="M56" s="10"/>
    </row>
    <row r="57" spans="7:13">
      <c r="G57" s="10"/>
      <c r="H57" s="10"/>
      <c r="I57" s="36"/>
      <c r="J57" s="10"/>
      <c r="K57" s="10"/>
      <c r="M57" s="10"/>
    </row>
    <row r="58" spans="7:13">
      <c r="G58" s="10"/>
      <c r="H58" s="10"/>
      <c r="I58" s="36"/>
      <c r="J58" s="10"/>
      <c r="K58" s="10"/>
      <c r="M58" s="10"/>
    </row>
    <row r="59" spans="7:13">
      <c r="G59" s="10"/>
      <c r="H59" s="10"/>
      <c r="I59" s="36"/>
      <c r="J59" s="10"/>
      <c r="K59" s="10"/>
      <c r="M59" s="10"/>
    </row>
    <row r="60" spans="7:13">
      <c r="G60" s="10"/>
      <c r="H60" s="10"/>
      <c r="I60" s="36"/>
      <c r="J60" s="10"/>
      <c r="K60" s="10"/>
      <c r="M60" s="10"/>
    </row>
    <row r="61" spans="7:13">
      <c r="G61" s="10"/>
      <c r="H61" s="10"/>
      <c r="I61" s="36"/>
      <c r="J61" s="10"/>
      <c r="K61" s="10"/>
      <c r="M61" s="10"/>
    </row>
    <row r="62" spans="7:13">
      <c r="G62" s="10"/>
      <c r="H62" s="10"/>
      <c r="I62" s="36"/>
      <c r="J62" s="10"/>
      <c r="K62" s="10"/>
      <c r="M62" s="10"/>
    </row>
  </sheetData>
  <mergeCells count="1">
    <mergeCell ref="A1:AB1"/>
  </mergeCells>
  <conditionalFormatting sqref="S3:S22">
    <cfRule type="expression" dxfId="155" priority="1">
      <formula>S3="AVAILABLE"</formula>
    </cfRule>
    <cfRule type="expression" dxfId="154" priority="2">
      <formula>S3="NORMAL"</formula>
    </cfRule>
    <cfRule type="expression" dxfId="153" priority="3">
      <formula>S3="FULL"</formula>
    </cfRule>
    <cfRule type="expression" dxfId="152" priority="4">
      <formula>S3="OVERLOAD"</formula>
    </cfRule>
  </conditionalFormatting>
  <conditionalFormatting sqref="V3:V22">
    <cfRule type="expression" dxfId="151" priority="5">
      <formula>V3="AVAILABLE"</formula>
    </cfRule>
    <cfRule type="expression" dxfId="150" priority="6">
      <formula>V3="NORMAL"</formula>
    </cfRule>
    <cfRule type="expression" dxfId="149" priority="7">
      <formula>V3="FULL"</formula>
    </cfRule>
    <cfRule type="expression" dxfId="148" priority="8">
      <formula>V3="OVERLOAD"</formula>
    </cfRule>
  </conditionalFormatting>
  <conditionalFormatting sqref="Y3:Y22">
    <cfRule type="expression" dxfId="147" priority="9">
      <formula>Y3="AVAILABLE"</formula>
    </cfRule>
    <cfRule type="expression" dxfId="146" priority="10">
      <formula>Y3="NORMAL"</formula>
    </cfRule>
    <cfRule type="expression" dxfId="145" priority="11">
      <formula>Y3="FULL"</formula>
    </cfRule>
    <cfRule type="expression" dxfId="144" priority="12">
      <formula>Y3="OVERLOAD"</formula>
    </cfRule>
  </conditionalFormatting>
  <conditionalFormatting sqref="AB3:AB22">
    <cfRule type="expression" dxfId="143" priority="13">
      <formula>AB3="AVAILABLE"</formula>
    </cfRule>
    <cfRule type="expression" dxfId="142" priority="14">
      <formula>AB3="NORMAL"</formula>
    </cfRule>
    <cfRule type="expression" dxfId="141" priority="15">
      <formula>AB3="FULL"</formula>
    </cfRule>
    <cfRule type="expression" dxfId="140" priority="16">
      <formula>AB3="OVERLOAD"</formula>
    </cfRule>
  </conditionalFormatting>
  <dataValidations count="6">
    <dataValidation type="list" sqref="A3:A62" xr:uid="{00000000-0002-0000-0200-000000000000}">
      <formula1>DV_ProjectID</formula1>
    </dataValidation>
    <dataValidation type="list" sqref="D3:D62" xr:uid="{00000000-0002-0000-0200-000001000000}">
      <formula1>DV_Staff</formula1>
    </dataValidation>
    <dataValidation type="list" sqref="C3:C62" xr:uid="{00000000-0002-0000-0200-000002000000}">
      <formula1>DV_Phase</formula1>
    </dataValidation>
    <dataValidation type="list" allowBlank="1" sqref="A3:A200" xr:uid="{00000000-0002-0000-0200-000003000000}">
      <formula1>DV_ProjectID</formula1>
    </dataValidation>
    <dataValidation type="list" allowBlank="1" sqref="C3:C200" xr:uid="{00000000-0002-0000-0200-000004000000}">
      <formula1>DV_Phase</formula1>
    </dataValidation>
    <dataValidation type="list" allowBlank="1" sqref="D3:D200" xr:uid="{00000000-0002-0000-0200-000005000000}">
      <formula1>DV_Staff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89"/>
  <sheetViews>
    <sheetView zoomScale="80" zoomScaleNormal="80" workbookViewId="0">
      <pane ySplit="2" topLeftCell="A3" activePane="bottomLeft" state="frozen"/>
      <selection pane="bottomLeft" activeCell="C11" sqref="C11"/>
    </sheetView>
  </sheetViews>
  <sheetFormatPr defaultRowHeight="14"/>
  <cols>
    <col min="1" max="1" width="11" style="18" customWidth="1"/>
    <col min="2" max="2" width="29" style="18" customWidth="1"/>
    <col min="3" max="3" width="18" style="18" customWidth="1"/>
    <col min="4" max="4" width="22" style="18" customWidth="1"/>
    <col min="5" max="5" width="34" style="18" customWidth="1"/>
    <col min="6" max="6" width="35.4140625" style="18" customWidth="1"/>
    <col min="7" max="7" width="17" style="18" customWidth="1"/>
    <col min="8" max="8" width="15" style="18" customWidth="1"/>
    <col min="9" max="9" width="30" style="18" customWidth="1"/>
    <col min="10" max="10" width="18.9140625" style="18" bestFit="1" customWidth="1"/>
    <col min="11" max="11" width="13" style="18" hidden="1" customWidth="1"/>
    <col min="12" max="12" width="3" style="18" hidden="1" customWidth="1"/>
    <col min="13" max="25" width="13" style="18" hidden="1" customWidth="1"/>
    <col min="26" max="26" width="1.75" style="18" bestFit="1" customWidth="1"/>
  </cols>
  <sheetData>
    <row r="1" spans="1:26" ht="19" customHeight="1">
      <c r="A1" s="71" t="s">
        <v>174</v>
      </c>
      <c r="B1" s="67"/>
      <c r="C1" s="67"/>
      <c r="D1" s="67"/>
      <c r="E1" s="67"/>
      <c r="F1" s="67"/>
      <c r="G1" s="67"/>
      <c r="H1" s="67"/>
      <c r="I1" s="67"/>
      <c r="J1" s="67"/>
      <c r="L1" t="str">
        <f>Setup!H3</f>
        <v>P01</v>
      </c>
      <c r="M1" t="str">
        <f>Setup!H4</f>
        <v>P02</v>
      </c>
      <c r="N1">
        <f>Setup!H5</f>
        <v>0</v>
      </c>
      <c r="O1">
        <f>Setup!H6</f>
        <v>0</v>
      </c>
      <c r="P1">
        <f>Setup!H7</f>
        <v>0</v>
      </c>
      <c r="Q1">
        <f>Setup!H8</f>
        <v>0</v>
      </c>
      <c r="R1">
        <f>Setup!H9</f>
        <v>0</v>
      </c>
      <c r="S1">
        <f>Setup!H10</f>
        <v>0</v>
      </c>
      <c r="T1">
        <f>Setup!H11</f>
        <v>0</v>
      </c>
      <c r="U1">
        <f>Setup!H12</f>
        <v>0</v>
      </c>
      <c r="V1">
        <f>Setup!H13</f>
        <v>0</v>
      </c>
      <c r="W1">
        <f>Setup!H14</f>
        <v>0</v>
      </c>
      <c r="X1">
        <f>Setup!H15</f>
        <v>0</v>
      </c>
      <c r="Y1">
        <f>Setup!H16</f>
        <v>0</v>
      </c>
      <c r="Z1">
        <f>Setup!H17</f>
        <v>0</v>
      </c>
    </row>
    <row r="2" spans="1:26">
      <c r="A2" s="11" t="s">
        <v>24</v>
      </c>
      <c r="B2" s="11" t="s">
        <v>25</v>
      </c>
      <c r="C2" s="11" t="s">
        <v>27</v>
      </c>
      <c r="D2" s="11" t="s">
        <v>175</v>
      </c>
      <c r="E2" s="11" t="s">
        <v>42</v>
      </c>
      <c r="F2" s="11" t="s">
        <v>176</v>
      </c>
      <c r="G2" s="11" t="s">
        <v>43</v>
      </c>
      <c r="H2" s="11" t="s">
        <v>177</v>
      </c>
      <c r="I2" s="11" t="s">
        <v>39</v>
      </c>
      <c r="J2" s="11" t="s">
        <v>35</v>
      </c>
      <c r="K2" s="11" t="s">
        <v>178</v>
      </c>
      <c r="L2" t="str">
        <f ca="1">IFERROR(INDEX('Staff Allocation'!$C$3:$C$62,_xludf.AGGREGATE(15,6,(ROW('Staff Allocation'!$C$3:$C$62)-ROW('Staff Allocation'!$C$3)+1)/(('Staff Allocation'!$A$3:$A$62=L$1)*('Staff Allocation'!$C$3:$C$62&lt;&gt;"")),ROWS(L$2:L2))),"")</f>
        <v/>
      </c>
      <c r="M2" t="s">
        <v>179</v>
      </c>
      <c r="N2" t="str">
        <f ca="1">IFERROR(INDEX('Staff Allocation'!$C$3:$C$62,_xludf.AGGREGATE(15,6,(ROW('Staff Allocation'!$C$3:$C$62)-ROW('Staff Allocation'!$C$3)+1)/(('Staff Allocation'!$A$3:$A$62=N$1)*('Staff Allocation'!$C$3:$C$62&lt;&gt;"")),ROWS(N$2:N2))),"")</f>
        <v/>
      </c>
      <c r="O2" t="str">
        <f ca="1">IFERROR(INDEX('Staff Allocation'!$C$3:$C$62,_xludf.AGGREGATE(15,6,(ROW('Staff Allocation'!$C$3:$C$62)-ROW('Staff Allocation'!$C$3)+1)/(('Staff Allocation'!$A$3:$A$62=O$1)*('Staff Allocation'!$C$3:$C$62&lt;&gt;"")),ROWS(O$2:O2))),"")</f>
        <v/>
      </c>
      <c r="P2" t="str">
        <f ca="1">IFERROR(INDEX('Staff Allocation'!$C$3:$C$62,_xludf.AGGREGATE(15,6,(ROW('Staff Allocation'!$C$3:$C$62)-ROW('Staff Allocation'!$C$3)+1)/(('Staff Allocation'!$A$3:$A$62=P$1)*('Staff Allocation'!$C$3:$C$62&lt;&gt;"")),ROWS(P$2:P2))),"")</f>
        <v/>
      </c>
      <c r="Q2" t="str">
        <f ca="1">IFERROR(INDEX('Staff Allocation'!$C$3:$C$62,_xludf.AGGREGATE(15,6,(ROW('Staff Allocation'!$C$3:$C$62)-ROW('Staff Allocation'!$C$3)+1)/(('Staff Allocation'!$A$3:$A$62=Q$1)*('Staff Allocation'!$C$3:$C$62&lt;&gt;"")),ROWS(Q$2:Q2))),"")</f>
        <v/>
      </c>
      <c r="R2" t="str">
        <f ca="1">IFERROR(INDEX('Staff Allocation'!$C$3:$C$62,_xludf.AGGREGATE(15,6,(ROW('Staff Allocation'!$C$3:$C$62)-ROW('Staff Allocation'!$C$3)+1)/(('Staff Allocation'!$A$3:$A$62=R$1)*('Staff Allocation'!$C$3:$C$62&lt;&gt;"")),ROWS(R$2:R2))),"")</f>
        <v/>
      </c>
      <c r="S2" t="str">
        <f ca="1">IFERROR(INDEX('Staff Allocation'!$C$3:$C$62,_xludf.AGGREGATE(15,6,(ROW('Staff Allocation'!$C$3:$C$62)-ROW('Staff Allocation'!$C$3)+1)/(('Staff Allocation'!$A$3:$A$62=S$1)*('Staff Allocation'!$C$3:$C$62&lt;&gt;"")),ROWS(S$2:S2))),"")</f>
        <v/>
      </c>
      <c r="T2" t="str">
        <f ca="1">IFERROR(INDEX('Staff Allocation'!$C$3:$C$62,_xludf.AGGREGATE(15,6,(ROW('Staff Allocation'!$C$3:$C$62)-ROW('Staff Allocation'!$C$3)+1)/(('Staff Allocation'!$A$3:$A$62=T$1)*('Staff Allocation'!$C$3:$C$62&lt;&gt;"")),ROWS(T$2:T2))),"")</f>
        <v/>
      </c>
      <c r="U2" t="str">
        <f ca="1">IFERROR(INDEX('Staff Allocation'!$C$3:$C$62,_xludf.AGGREGATE(15,6,(ROW('Staff Allocation'!$C$3:$C$62)-ROW('Staff Allocation'!$C$3)+1)/(('Staff Allocation'!$A$3:$A$62=U$1)*('Staff Allocation'!$C$3:$C$62&lt;&gt;"")),ROWS(U$2:U2))),"")</f>
        <v/>
      </c>
      <c r="V2" t="str">
        <f ca="1">IFERROR(INDEX('Staff Allocation'!$C$3:$C$62,_xludf.AGGREGATE(15,6,(ROW('Staff Allocation'!$C$3:$C$62)-ROW('Staff Allocation'!$C$3)+1)/(('Staff Allocation'!$A$3:$A$62=V$1)*('Staff Allocation'!$C$3:$C$62&lt;&gt;"")),ROWS(V$2:V2))),"")</f>
        <v/>
      </c>
      <c r="W2" t="str">
        <f ca="1">IFERROR(INDEX('Staff Allocation'!$C$3:$C$62,_xludf.AGGREGATE(15,6,(ROW('Staff Allocation'!$C$3:$C$62)-ROW('Staff Allocation'!$C$3)+1)/(('Staff Allocation'!$A$3:$A$62=W$1)*('Staff Allocation'!$C$3:$C$62&lt;&gt;"")),ROWS(W$2:W2))),"")</f>
        <v/>
      </c>
      <c r="X2" t="str">
        <f ca="1">IFERROR(INDEX('Staff Allocation'!$C$3:$C$62,_xludf.AGGREGATE(15,6,(ROW('Staff Allocation'!$C$3:$C$62)-ROW('Staff Allocation'!$C$3)+1)/(('Staff Allocation'!$A$3:$A$62=X$1)*('Staff Allocation'!$C$3:$C$62&lt;&gt;"")),ROWS(X$2:X2))),"")</f>
        <v/>
      </c>
      <c r="Y2" t="str">
        <f ca="1">IFERROR(INDEX('Staff Allocation'!$C$3:$C$62,_xludf.AGGREGATE(15,6,(ROW('Staff Allocation'!$C$3:$C$62)-ROW('Staff Allocation'!$C$3)+1)/(('Staff Allocation'!$A$3:$A$62=Y$1)*('Staff Allocation'!$C$3:$C$62&lt;&gt;"")),ROWS(Y$2:Y2))),"")</f>
        <v/>
      </c>
      <c r="Z2" t="str">
        <f ca="1">IFERROR(INDEX('Staff Allocation'!$C$3:$C$62,_xludf.AGGREGATE(15,6,(ROW('Staff Allocation'!$C$3:$C$62)-ROW('Staff Allocation'!$C$3)+1)/(('Staff Allocation'!$A$3:$A$62=Z$1)*('Staff Allocation'!$C$3:$C$62&lt;&gt;"")),ROWS(Z$2:Z2))),"")</f>
        <v/>
      </c>
    </row>
    <row r="3" spans="1:26">
      <c r="A3" t="s">
        <v>50</v>
      </c>
      <c r="B3" t="str">
        <f>IFERROR(INDEX(Setup!$I$3:$I$17,MATCH($A3,Setup!$H$3:$H$17,0)),"")</f>
        <v>Rumah Pak Nata</v>
      </c>
      <c r="C3" s="9">
        <v>46266</v>
      </c>
      <c r="D3" s="9">
        <v>46267</v>
      </c>
      <c r="E3" t="s">
        <v>78</v>
      </c>
      <c r="F3" t="s">
        <v>264</v>
      </c>
      <c r="G3" t="s">
        <v>71</v>
      </c>
      <c r="H3" t="s">
        <v>98</v>
      </c>
      <c r="I3" s="58" t="s">
        <v>82</v>
      </c>
      <c r="K3" t="str">
        <f>IF(OR($A3="",$C3=""),"",$A3&amp;TEXT($C3,"yyyymmdd"))</f>
        <v>P0120260901</v>
      </c>
      <c r="L3" t="str">
        <f ca="1">IFERROR(INDEX('Staff Allocation'!$C$3:$C$62,_xludf.AGGREGATE(15,6,(ROW('Staff Allocation'!$C$3:$C$62)-ROW('Staff Allocation'!$C$3)+1)/(('Staff Allocation'!$A$3:$A$62=L$1)*('Staff Allocation'!$C$3:$C$62&lt;&gt;"")),ROWS(L$2:L3))),"")</f>
        <v/>
      </c>
      <c r="M3" t="str">
        <f ca="1">IFERROR(INDEX('Staff Allocation'!$C$3:$C$62,_xludf.AGGREGATE(15,6,(ROW('Staff Allocation'!$C$3:$C$62)-ROW('Staff Allocation'!$C$3)+1)/(('Staff Allocation'!$A$3:$A$62=M$1)*('Staff Allocation'!$C$3:$C$62&lt;&gt;"")),ROWS(M$2:M3))),"")</f>
        <v/>
      </c>
      <c r="N3" t="str">
        <f ca="1">IFERROR(INDEX('Staff Allocation'!$C$3:$C$62,_xludf.AGGREGATE(15,6,(ROW('Staff Allocation'!$C$3:$C$62)-ROW('Staff Allocation'!$C$3)+1)/(('Staff Allocation'!$A$3:$A$62=N$1)*('Staff Allocation'!$C$3:$C$62&lt;&gt;"")),ROWS(N$2:N3))),"")</f>
        <v/>
      </c>
      <c r="O3" t="str">
        <f ca="1">IFERROR(INDEX('Staff Allocation'!$C$3:$C$62,_xludf.AGGREGATE(15,6,(ROW('Staff Allocation'!$C$3:$C$62)-ROW('Staff Allocation'!$C$3)+1)/(('Staff Allocation'!$A$3:$A$62=O$1)*('Staff Allocation'!$C$3:$C$62&lt;&gt;"")),ROWS(O$2:O3))),"")</f>
        <v/>
      </c>
      <c r="P3" t="str">
        <f ca="1">IFERROR(INDEX('Staff Allocation'!$C$3:$C$62,_xludf.AGGREGATE(15,6,(ROW('Staff Allocation'!$C$3:$C$62)-ROW('Staff Allocation'!$C$3)+1)/(('Staff Allocation'!$A$3:$A$62=P$1)*('Staff Allocation'!$C$3:$C$62&lt;&gt;"")),ROWS(P$2:P3))),"")</f>
        <v/>
      </c>
      <c r="Q3" t="str">
        <f ca="1">IFERROR(INDEX('Staff Allocation'!$C$3:$C$62,_xludf.AGGREGATE(15,6,(ROW('Staff Allocation'!$C$3:$C$62)-ROW('Staff Allocation'!$C$3)+1)/(('Staff Allocation'!$A$3:$A$62=Q$1)*('Staff Allocation'!$C$3:$C$62&lt;&gt;"")),ROWS(Q$2:Q3))),"")</f>
        <v/>
      </c>
      <c r="R3" t="str">
        <f ca="1">IFERROR(INDEX('Staff Allocation'!$C$3:$C$62,_xludf.AGGREGATE(15,6,(ROW('Staff Allocation'!$C$3:$C$62)-ROW('Staff Allocation'!$C$3)+1)/(('Staff Allocation'!$A$3:$A$62=R$1)*('Staff Allocation'!$C$3:$C$62&lt;&gt;"")),ROWS(R$2:R3))),"")</f>
        <v/>
      </c>
      <c r="S3" t="str">
        <f ca="1">IFERROR(INDEX('Staff Allocation'!$C$3:$C$62,_xludf.AGGREGATE(15,6,(ROW('Staff Allocation'!$C$3:$C$62)-ROW('Staff Allocation'!$C$3)+1)/(('Staff Allocation'!$A$3:$A$62=S$1)*('Staff Allocation'!$C$3:$C$62&lt;&gt;"")),ROWS(S$2:S3))),"")</f>
        <v/>
      </c>
      <c r="T3" t="str">
        <f ca="1">IFERROR(INDEX('Staff Allocation'!$C$3:$C$62,_xludf.AGGREGATE(15,6,(ROW('Staff Allocation'!$C$3:$C$62)-ROW('Staff Allocation'!$C$3)+1)/(('Staff Allocation'!$A$3:$A$62=T$1)*('Staff Allocation'!$C$3:$C$62&lt;&gt;"")),ROWS(T$2:T3))),"")</f>
        <v/>
      </c>
      <c r="U3" t="str">
        <f ca="1">IFERROR(INDEX('Staff Allocation'!$C$3:$C$62,_xludf.AGGREGATE(15,6,(ROW('Staff Allocation'!$C$3:$C$62)-ROW('Staff Allocation'!$C$3)+1)/(('Staff Allocation'!$A$3:$A$62=U$1)*('Staff Allocation'!$C$3:$C$62&lt;&gt;"")),ROWS(U$2:U3))),"")</f>
        <v/>
      </c>
      <c r="V3" t="str">
        <f ca="1">IFERROR(INDEX('Staff Allocation'!$C$3:$C$62,_xludf.AGGREGATE(15,6,(ROW('Staff Allocation'!$C$3:$C$62)-ROW('Staff Allocation'!$C$3)+1)/(('Staff Allocation'!$A$3:$A$62=V$1)*('Staff Allocation'!$C$3:$C$62&lt;&gt;"")),ROWS(V$2:V3))),"")</f>
        <v/>
      </c>
      <c r="W3" t="str">
        <f ca="1">IFERROR(INDEX('Staff Allocation'!$C$3:$C$62,_xludf.AGGREGATE(15,6,(ROW('Staff Allocation'!$C$3:$C$62)-ROW('Staff Allocation'!$C$3)+1)/(('Staff Allocation'!$A$3:$A$62=W$1)*('Staff Allocation'!$C$3:$C$62&lt;&gt;"")),ROWS(W$2:W3))),"")</f>
        <v/>
      </c>
      <c r="X3" t="str">
        <f ca="1">IFERROR(INDEX('Staff Allocation'!$C$3:$C$62,_xludf.AGGREGATE(15,6,(ROW('Staff Allocation'!$C$3:$C$62)-ROW('Staff Allocation'!$C$3)+1)/(('Staff Allocation'!$A$3:$A$62=X$1)*('Staff Allocation'!$C$3:$C$62&lt;&gt;"")),ROWS(X$2:X3))),"")</f>
        <v/>
      </c>
      <c r="Y3" t="str">
        <f ca="1">IFERROR(INDEX('Staff Allocation'!$C$3:$C$62,_xludf.AGGREGATE(15,6,(ROW('Staff Allocation'!$C$3:$C$62)-ROW('Staff Allocation'!$C$3)+1)/(('Staff Allocation'!$A$3:$A$62=Y$1)*('Staff Allocation'!$C$3:$C$62&lt;&gt;"")),ROWS(Y$2:Y3))),"")</f>
        <v/>
      </c>
      <c r="Z3" t="str">
        <f ca="1">IFERROR(INDEX('Staff Allocation'!$C$3:$C$62,_xludf.AGGREGATE(15,6,(ROW('Staff Allocation'!$C$3:$C$62)-ROW('Staff Allocation'!$C$3)+1)/(('Staff Allocation'!$A$3:$A$62=Z$1)*('Staff Allocation'!$C$3:$C$62&lt;&gt;"")),ROWS(Z$2:Z3))),"")</f>
        <v/>
      </c>
    </row>
    <row r="4" spans="1:26">
      <c r="A4" t="s">
        <v>50</v>
      </c>
      <c r="B4" s="37" t="str">
        <f>IFERROR(INDEX(Setup!$I$3:$I$17,MATCH($A4,Setup!$H$3:$H$17,0)),"")</f>
        <v>Rumah Pak Nata</v>
      </c>
      <c r="C4" s="9">
        <v>46266</v>
      </c>
      <c r="D4" s="9">
        <v>46268</v>
      </c>
      <c r="E4" s="37" t="s">
        <v>78</v>
      </c>
      <c r="F4" t="s">
        <v>265</v>
      </c>
      <c r="G4" s="37" t="s">
        <v>71</v>
      </c>
      <c r="H4" t="s">
        <v>98</v>
      </c>
      <c r="I4" s="38" t="s">
        <v>82</v>
      </c>
      <c r="J4"/>
      <c r="K4" t="str">
        <f>IF(OR($A4="",$C4=""),"",$A4&amp;TEXT($C4,"yyyymmdd"))</f>
        <v>P0120260901</v>
      </c>
      <c r="L4" t="str">
        <f ca="1">IFERROR(INDEX('Staff Allocation'!$C$3:$C$62,_xludf.AGGREGATE(15,6,(ROW('Staff Allocation'!$C$3:$C$62)-ROW('Staff Allocation'!$C$3)+1)/(('Staff Allocation'!$A$3:$A$62=L$1)*('Staff Allocation'!$C$3:$C$62&lt;&gt;"")),ROWS(L$2:L4))),"")</f>
        <v/>
      </c>
      <c r="M4" t="str">
        <f ca="1">IFERROR(INDEX('Staff Allocation'!$C$3:$C$62,_xludf.AGGREGATE(15,6,(ROW('Staff Allocation'!$C$3:$C$62)-ROW('Staff Allocation'!$C$3)+1)/(('Staff Allocation'!$A$3:$A$62=M$1)*('Staff Allocation'!$C$3:$C$62&lt;&gt;"")),ROWS(M$2:M4))),"")</f>
        <v/>
      </c>
      <c r="N4" t="str">
        <f ca="1">IFERROR(INDEX('Staff Allocation'!$C$3:$C$62,_xludf.AGGREGATE(15,6,(ROW('Staff Allocation'!$C$3:$C$62)-ROW('Staff Allocation'!$C$3)+1)/(('Staff Allocation'!$A$3:$A$62=N$1)*('Staff Allocation'!$C$3:$C$62&lt;&gt;"")),ROWS(N$2:N4))),"")</f>
        <v/>
      </c>
      <c r="O4" t="str">
        <f ca="1">IFERROR(INDEX('Staff Allocation'!$C$3:$C$62,_xludf.AGGREGATE(15,6,(ROW('Staff Allocation'!$C$3:$C$62)-ROW('Staff Allocation'!$C$3)+1)/(('Staff Allocation'!$A$3:$A$62=O$1)*('Staff Allocation'!$C$3:$C$62&lt;&gt;"")),ROWS(O$2:O4))),"")</f>
        <v/>
      </c>
      <c r="P4" t="str">
        <f ca="1">IFERROR(INDEX('Staff Allocation'!$C$3:$C$62,_xludf.AGGREGATE(15,6,(ROW('Staff Allocation'!$C$3:$C$62)-ROW('Staff Allocation'!$C$3)+1)/(('Staff Allocation'!$A$3:$A$62=P$1)*('Staff Allocation'!$C$3:$C$62&lt;&gt;"")),ROWS(P$2:P4))),"")</f>
        <v/>
      </c>
      <c r="Q4" t="str">
        <f ca="1">IFERROR(INDEX('Staff Allocation'!$C$3:$C$62,_xludf.AGGREGATE(15,6,(ROW('Staff Allocation'!$C$3:$C$62)-ROW('Staff Allocation'!$C$3)+1)/(('Staff Allocation'!$A$3:$A$62=Q$1)*('Staff Allocation'!$C$3:$C$62&lt;&gt;"")),ROWS(Q$2:Q4))),"")</f>
        <v/>
      </c>
      <c r="R4" t="str">
        <f ca="1">IFERROR(INDEX('Staff Allocation'!$C$3:$C$62,_xludf.AGGREGATE(15,6,(ROW('Staff Allocation'!$C$3:$C$62)-ROW('Staff Allocation'!$C$3)+1)/(('Staff Allocation'!$A$3:$A$62=R$1)*('Staff Allocation'!$C$3:$C$62&lt;&gt;"")),ROWS(R$2:R4))),"")</f>
        <v/>
      </c>
      <c r="S4" t="str">
        <f ca="1">IFERROR(INDEX('Staff Allocation'!$C$3:$C$62,_xludf.AGGREGATE(15,6,(ROW('Staff Allocation'!$C$3:$C$62)-ROW('Staff Allocation'!$C$3)+1)/(('Staff Allocation'!$A$3:$A$62=S$1)*('Staff Allocation'!$C$3:$C$62&lt;&gt;"")),ROWS(S$2:S4))),"")</f>
        <v/>
      </c>
      <c r="T4" t="str">
        <f ca="1">IFERROR(INDEX('Staff Allocation'!$C$3:$C$62,_xludf.AGGREGATE(15,6,(ROW('Staff Allocation'!$C$3:$C$62)-ROW('Staff Allocation'!$C$3)+1)/(('Staff Allocation'!$A$3:$A$62=T$1)*('Staff Allocation'!$C$3:$C$62&lt;&gt;"")),ROWS(T$2:T4))),"")</f>
        <v/>
      </c>
      <c r="U4" t="str">
        <f ca="1">IFERROR(INDEX('Staff Allocation'!$C$3:$C$62,_xludf.AGGREGATE(15,6,(ROW('Staff Allocation'!$C$3:$C$62)-ROW('Staff Allocation'!$C$3)+1)/(('Staff Allocation'!$A$3:$A$62=U$1)*('Staff Allocation'!$C$3:$C$62&lt;&gt;"")),ROWS(U$2:U4))),"")</f>
        <v/>
      </c>
      <c r="V4" t="str">
        <f ca="1">IFERROR(INDEX('Staff Allocation'!$C$3:$C$62,_xludf.AGGREGATE(15,6,(ROW('Staff Allocation'!$C$3:$C$62)-ROW('Staff Allocation'!$C$3)+1)/(('Staff Allocation'!$A$3:$A$62=V$1)*('Staff Allocation'!$C$3:$C$62&lt;&gt;"")),ROWS(V$2:V4))),"")</f>
        <v/>
      </c>
      <c r="W4" t="str">
        <f ca="1">IFERROR(INDEX('Staff Allocation'!$C$3:$C$62,_xludf.AGGREGATE(15,6,(ROW('Staff Allocation'!$C$3:$C$62)-ROW('Staff Allocation'!$C$3)+1)/(('Staff Allocation'!$A$3:$A$62=W$1)*('Staff Allocation'!$C$3:$C$62&lt;&gt;"")),ROWS(W$2:W4))),"")</f>
        <v/>
      </c>
      <c r="X4" t="str">
        <f ca="1">IFERROR(INDEX('Staff Allocation'!$C$3:$C$62,_xludf.AGGREGATE(15,6,(ROW('Staff Allocation'!$C$3:$C$62)-ROW('Staff Allocation'!$C$3)+1)/(('Staff Allocation'!$A$3:$A$62=X$1)*('Staff Allocation'!$C$3:$C$62&lt;&gt;"")),ROWS(X$2:X4))),"")</f>
        <v/>
      </c>
      <c r="Y4" t="str">
        <f ca="1">IFERROR(INDEX('Staff Allocation'!$C$3:$C$62,_xludf.AGGREGATE(15,6,(ROW('Staff Allocation'!$C$3:$C$62)-ROW('Staff Allocation'!$C$3)+1)/(('Staff Allocation'!$A$3:$A$62=Y$1)*('Staff Allocation'!$C$3:$C$62&lt;&gt;"")),ROWS(Y$2:Y4))),"")</f>
        <v/>
      </c>
      <c r="Z4" t="str">
        <f ca="1">IFERROR(INDEX('Staff Allocation'!$C$3:$C$62,_xludf.AGGREGATE(15,6,(ROW('Staff Allocation'!$C$3:$C$62)-ROW('Staff Allocation'!$C$3)+1)/(('Staff Allocation'!$A$3:$A$62=Z$1)*('Staff Allocation'!$C$3:$C$62&lt;&gt;"")),ROWS(Z$2:Z4))),"")</f>
        <v/>
      </c>
    </row>
    <row r="5" spans="1:26">
      <c r="A5" s="37" t="s">
        <v>50</v>
      </c>
      <c r="B5" s="37" t="str">
        <f>IFERROR(INDEX(Setup!$I$3:$I$17,MATCH($A5,Setup!$H$3:$H$17,0)),"")</f>
        <v>Rumah Pak Nata</v>
      </c>
      <c r="C5" s="9">
        <v>46266</v>
      </c>
      <c r="D5" s="9">
        <v>46268</v>
      </c>
      <c r="E5" s="37" t="s">
        <v>78</v>
      </c>
      <c r="F5" s="37" t="s">
        <v>280</v>
      </c>
      <c r="G5" s="37" t="s">
        <v>71</v>
      </c>
      <c r="H5" s="37" t="s">
        <v>98</v>
      </c>
      <c r="I5" s="38" t="s">
        <v>82</v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</row>
    <row r="6" spans="1:26">
      <c r="A6" s="59" t="s">
        <v>69</v>
      </c>
      <c r="B6" t="str">
        <f>IFERROR(INDEX(Setup!$I$3:$I$17,MATCH($A6,Setup!$H$3:$H$17,0)),"")</f>
        <v>Interior RS Mitra Medika</v>
      </c>
      <c r="C6" s="9">
        <v>46266</v>
      </c>
      <c r="D6" s="9">
        <v>46268</v>
      </c>
      <c r="E6" s="59" t="s">
        <v>78</v>
      </c>
      <c r="F6" s="59" t="s">
        <v>281</v>
      </c>
      <c r="G6" s="43" t="s">
        <v>93</v>
      </c>
      <c r="H6" s="43" t="s">
        <v>98</v>
      </c>
      <c r="I6" s="38" t="s">
        <v>82</v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</row>
    <row r="7" spans="1:26">
      <c r="A7" s="59" t="s">
        <v>50</v>
      </c>
      <c r="B7" s="51" t="str">
        <f>IFERROR(INDEX(Setup!$I$3:$I$17,MATCH($A7,Setup!$H$3:$H$17,0)),"")</f>
        <v>Rumah Pak Nata</v>
      </c>
      <c r="C7" s="9">
        <v>46266</v>
      </c>
      <c r="D7" s="9">
        <v>46268</v>
      </c>
      <c r="E7" s="59" t="s">
        <v>78</v>
      </c>
      <c r="F7" s="59" t="s">
        <v>282</v>
      </c>
      <c r="G7" s="51" t="s">
        <v>71</v>
      </c>
      <c r="H7" s="51" t="s">
        <v>98</v>
      </c>
      <c r="I7" s="38" t="s">
        <v>82</v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</row>
    <row r="8" spans="1:26">
      <c r="A8" s="38" t="s">
        <v>69</v>
      </c>
      <c r="B8" s="45" t="str">
        <f>IFERROR(INDEX(Setup!$I$3:$I$17,MATCH($A8,Setup!$H$3:$H$17,0)),"")</f>
        <v>Interior RS Mitra Medika</v>
      </c>
      <c r="C8" s="9">
        <v>46269</v>
      </c>
      <c r="D8" s="9">
        <v>46269</v>
      </c>
      <c r="E8" s="38" t="s">
        <v>61</v>
      </c>
      <c r="F8" s="38" t="s">
        <v>274</v>
      </c>
      <c r="G8" s="45" t="s">
        <v>71</v>
      </c>
      <c r="H8" s="45" t="s">
        <v>98</v>
      </c>
      <c r="I8" s="38" t="s">
        <v>82</v>
      </c>
      <c r="K8" t="str">
        <f t="shared" ref="K8:K39" si="0">IF(OR($A8="",$C8=""),"",$A8&amp;TEXT($C8,"yyyymmdd"))</f>
        <v>P0220260904</v>
      </c>
      <c r="L8" t="str">
        <f ca="1">IFERROR(INDEX('Staff Allocation'!$C$3:$C$62,_xludf.AGGREGATE(15,6,(ROW('Staff Allocation'!$C$3:$C$62)-ROW('Staff Allocation'!$C$3)+1)/(('Staff Allocation'!$A$3:$A$62=L$1)*('Staff Allocation'!$C$3:$C$62&lt;&gt;"")),ROWS(L$2:L8))),"")</f>
        <v/>
      </c>
      <c r="M8" t="str">
        <f ca="1">IFERROR(INDEX('Staff Allocation'!$C$3:$C$62,_xludf.AGGREGATE(15,6,(ROW('Staff Allocation'!$C$3:$C$62)-ROW('Staff Allocation'!$C$3)+1)/(('Staff Allocation'!$A$3:$A$62=M$1)*('Staff Allocation'!$C$3:$C$62&lt;&gt;"")),ROWS(M$2:M8))),"")</f>
        <v/>
      </c>
      <c r="N8" t="str">
        <f ca="1">IFERROR(INDEX('Staff Allocation'!$C$3:$C$62,_xludf.AGGREGATE(15,6,(ROW('Staff Allocation'!$C$3:$C$62)-ROW('Staff Allocation'!$C$3)+1)/(('Staff Allocation'!$A$3:$A$62=N$1)*('Staff Allocation'!$C$3:$C$62&lt;&gt;"")),ROWS(N$2:N8))),"")</f>
        <v/>
      </c>
      <c r="O8" t="str">
        <f ca="1">IFERROR(INDEX('Staff Allocation'!$C$3:$C$62,_xludf.AGGREGATE(15,6,(ROW('Staff Allocation'!$C$3:$C$62)-ROW('Staff Allocation'!$C$3)+1)/(('Staff Allocation'!$A$3:$A$62=O$1)*('Staff Allocation'!$C$3:$C$62&lt;&gt;"")),ROWS(O$2:O8))),"")</f>
        <v/>
      </c>
      <c r="P8" t="str">
        <f ca="1">IFERROR(INDEX('Staff Allocation'!$C$3:$C$62,_xludf.AGGREGATE(15,6,(ROW('Staff Allocation'!$C$3:$C$62)-ROW('Staff Allocation'!$C$3)+1)/(('Staff Allocation'!$A$3:$A$62=P$1)*('Staff Allocation'!$C$3:$C$62&lt;&gt;"")),ROWS(P$2:P8))),"")</f>
        <v/>
      </c>
      <c r="Q8" t="str">
        <f ca="1">IFERROR(INDEX('Staff Allocation'!$C$3:$C$62,_xludf.AGGREGATE(15,6,(ROW('Staff Allocation'!$C$3:$C$62)-ROW('Staff Allocation'!$C$3)+1)/(('Staff Allocation'!$A$3:$A$62=Q$1)*('Staff Allocation'!$C$3:$C$62&lt;&gt;"")),ROWS(Q$2:Q8))),"")</f>
        <v/>
      </c>
      <c r="R8" t="str">
        <f ca="1">IFERROR(INDEX('Staff Allocation'!$C$3:$C$62,_xludf.AGGREGATE(15,6,(ROW('Staff Allocation'!$C$3:$C$62)-ROW('Staff Allocation'!$C$3)+1)/(('Staff Allocation'!$A$3:$A$62=R$1)*('Staff Allocation'!$C$3:$C$62&lt;&gt;"")),ROWS(R$2:R8))),"")</f>
        <v/>
      </c>
      <c r="S8" t="str">
        <f ca="1">IFERROR(INDEX('Staff Allocation'!$C$3:$C$62,_xludf.AGGREGATE(15,6,(ROW('Staff Allocation'!$C$3:$C$62)-ROW('Staff Allocation'!$C$3)+1)/(('Staff Allocation'!$A$3:$A$62=S$1)*('Staff Allocation'!$C$3:$C$62&lt;&gt;"")),ROWS(S$2:S8))),"")</f>
        <v/>
      </c>
      <c r="T8" t="str">
        <f ca="1">IFERROR(INDEX('Staff Allocation'!$C$3:$C$62,_xludf.AGGREGATE(15,6,(ROW('Staff Allocation'!$C$3:$C$62)-ROW('Staff Allocation'!$C$3)+1)/(('Staff Allocation'!$A$3:$A$62=T$1)*('Staff Allocation'!$C$3:$C$62&lt;&gt;"")),ROWS(T$2:T8))),"")</f>
        <v/>
      </c>
      <c r="U8" t="str">
        <f ca="1">IFERROR(INDEX('Staff Allocation'!$C$3:$C$62,_xludf.AGGREGATE(15,6,(ROW('Staff Allocation'!$C$3:$C$62)-ROW('Staff Allocation'!$C$3)+1)/(('Staff Allocation'!$A$3:$A$62=U$1)*('Staff Allocation'!$C$3:$C$62&lt;&gt;"")),ROWS(U$2:U8))),"")</f>
        <v/>
      </c>
      <c r="V8" t="str">
        <f ca="1">IFERROR(INDEX('Staff Allocation'!$C$3:$C$62,_xludf.AGGREGATE(15,6,(ROW('Staff Allocation'!$C$3:$C$62)-ROW('Staff Allocation'!$C$3)+1)/(('Staff Allocation'!$A$3:$A$62=V$1)*('Staff Allocation'!$C$3:$C$62&lt;&gt;"")),ROWS(V$2:V8))),"")</f>
        <v/>
      </c>
      <c r="W8" t="str">
        <f ca="1">IFERROR(INDEX('Staff Allocation'!$C$3:$C$62,_xludf.AGGREGATE(15,6,(ROW('Staff Allocation'!$C$3:$C$62)-ROW('Staff Allocation'!$C$3)+1)/(('Staff Allocation'!$A$3:$A$62=W$1)*('Staff Allocation'!$C$3:$C$62&lt;&gt;"")),ROWS(W$2:W8))),"")</f>
        <v/>
      </c>
      <c r="X8" t="str">
        <f ca="1">IFERROR(INDEX('Staff Allocation'!$C$3:$C$62,_xludf.AGGREGATE(15,6,(ROW('Staff Allocation'!$C$3:$C$62)-ROW('Staff Allocation'!$C$3)+1)/(('Staff Allocation'!$A$3:$A$62=X$1)*('Staff Allocation'!$C$3:$C$62&lt;&gt;"")),ROWS(X$2:X8))),"")</f>
        <v/>
      </c>
      <c r="Y8" t="str">
        <f ca="1">IFERROR(INDEX('Staff Allocation'!$C$3:$C$62,_xludf.AGGREGATE(15,6,(ROW('Staff Allocation'!$C$3:$C$62)-ROW('Staff Allocation'!$C$3)+1)/(('Staff Allocation'!$A$3:$A$62=Y$1)*('Staff Allocation'!$C$3:$C$62&lt;&gt;"")),ROWS(Y$2:Y8))),"")</f>
        <v/>
      </c>
      <c r="Z8" t="str">
        <f ca="1">IFERROR(INDEX('Staff Allocation'!$C$3:$C$62,_xludf.AGGREGATE(15,6,(ROW('Staff Allocation'!$C$3:$C$62)-ROW('Staff Allocation'!$C$3)+1)/(('Staff Allocation'!$A$3:$A$62=Z$1)*('Staff Allocation'!$C$3:$C$62&lt;&gt;"")),ROWS(Z$2:Z8))),"")</f>
        <v/>
      </c>
    </row>
    <row r="9" spans="1:26">
      <c r="A9" s="58" t="s">
        <v>69</v>
      </c>
      <c r="B9" s="52" t="str">
        <f>IFERROR(INDEX(Setup!$I$3:$I$17,MATCH($A9,Setup!$H$3:$H$17,0)),"")</f>
        <v>Interior RS Mitra Medika</v>
      </c>
      <c r="C9" s="9">
        <v>46269</v>
      </c>
      <c r="D9" s="9">
        <v>46269</v>
      </c>
      <c r="E9" s="58" t="s">
        <v>61</v>
      </c>
      <c r="F9" s="58" t="s">
        <v>285</v>
      </c>
      <c r="G9" s="52" t="s">
        <v>71</v>
      </c>
      <c r="H9" s="52" t="s">
        <v>98</v>
      </c>
      <c r="I9" s="38" t="s">
        <v>82</v>
      </c>
      <c r="J9" s="52"/>
      <c r="K9" s="52" t="str">
        <f t="shared" si="0"/>
        <v>P0220260904</v>
      </c>
      <c r="L9" s="52" t="str">
        <f ca="1">IFERROR(INDEX('Staff Allocation'!$C$3:$C$62,_xludf.AGGREGATE(15,6,(ROW('Staff Allocation'!$C$3:$C$62)-ROW('Staff Allocation'!$C$3)+1)/(('Staff Allocation'!$A$3:$A$62=L$1)*('Staff Allocation'!$C$3:$C$62&lt;&gt;"")),ROWS(L$2:L9))),"")</f>
        <v/>
      </c>
      <c r="M9" s="52" t="str">
        <f ca="1">IFERROR(INDEX('Staff Allocation'!$C$3:$C$62,_xludf.AGGREGATE(15,6,(ROW('Staff Allocation'!$C$3:$C$62)-ROW('Staff Allocation'!$C$3)+1)/(('Staff Allocation'!$A$3:$A$62=M$1)*('Staff Allocation'!$C$3:$C$62&lt;&gt;"")),ROWS(M$2:M9))),"")</f>
        <v/>
      </c>
      <c r="N9" s="52" t="str">
        <f ca="1">IFERROR(INDEX('Staff Allocation'!$C$3:$C$62,_xludf.AGGREGATE(15,6,(ROW('Staff Allocation'!$C$3:$C$62)-ROW('Staff Allocation'!$C$3)+1)/(('Staff Allocation'!$A$3:$A$62=N$1)*('Staff Allocation'!$C$3:$C$62&lt;&gt;"")),ROWS(N$2:N9))),"")</f>
        <v/>
      </c>
      <c r="O9" s="52" t="str">
        <f ca="1">IFERROR(INDEX('Staff Allocation'!$C$3:$C$62,_xludf.AGGREGATE(15,6,(ROW('Staff Allocation'!$C$3:$C$62)-ROW('Staff Allocation'!$C$3)+1)/(('Staff Allocation'!$A$3:$A$62=O$1)*('Staff Allocation'!$C$3:$C$62&lt;&gt;"")),ROWS(O$2:O9))),"")</f>
        <v/>
      </c>
      <c r="P9" s="52" t="str">
        <f ca="1">IFERROR(INDEX('Staff Allocation'!$C$3:$C$62,_xludf.AGGREGATE(15,6,(ROW('Staff Allocation'!$C$3:$C$62)-ROW('Staff Allocation'!$C$3)+1)/(('Staff Allocation'!$A$3:$A$62=P$1)*('Staff Allocation'!$C$3:$C$62&lt;&gt;"")),ROWS(P$2:P9))),"")</f>
        <v/>
      </c>
      <c r="Q9" s="52" t="str">
        <f ca="1">IFERROR(INDEX('Staff Allocation'!$C$3:$C$62,_xludf.AGGREGATE(15,6,(ROW('Staff Allocation'!$C$3:$C$62)-ROW('Staff Allocation'!$C$3)+1)/(('Staff Allocation'!$A$3:$A$62=Q$1)*('Staff Allocation'!$C$3:$C$62&lt;&gt;"")),ROWS(Q$2:Q9))),"")</f>
        <v/>
      </c>
      <c r="R9" s="52" t="str">
        <f ca="1">IFERROR(INDEX('Staff Allocation'!$C$3:$C$62,_xludf.AGGREGATE(15,6,(ROW('Staff Allocation'!$C$3:$C$62)-ROW('Staff Allocation'!$C$3)+1)/(('Staff Allocation'!$A$3:$A$62=R$1)*('Staff Allocation'!$C$3:$C$62&lt;&gt;"")),ROWS(R$2:R9))),"")</f>
        <v/>
      </c>
      <c r="S9" s="52" t="str">
        <f ca="1">IFERROR(INDEX('Staff Allocation'!$C$3:$C$62,_xludf.AGGREGATE(15,6,(ROW('Staff Allocation'!$C$3:$C$62)-ROW('Staff Allocation'!$C$3)+1)/(('Staff Allocation'!$A$3:$A$62=S$1)*('Staff Allocation'!$C$3:$C$62&lt;&gt;"")),ROWS(S$2:S9))),"")</f>
        <v/>
      </c>
      <c r="T9" s="52" t="str">
        <f ca="1">IFERROR(INDEX('Staff Allocation'!$C$3:$C$62,_xludf.AGGREGATE(15,6,(ROW('Staff Allocation'!$C$3:$C$62)-ROW('Staff Allocation'!$C$3)+1)/(('Staff Allocation'!$A$3:$A$62=T$1)*('Staff Allocation'!$C$3:$C$62&lt;&gt;"")),ROWS(T$2:T9))),"")</f>
        <v/>
      </c>
      <c r="U9" s="52" t="str">
        <f ca="1">IFERROR(INDEX('Staff Allocation'!$C$3:$C$62,_xludf.AGGREGATE(15,6,(ROW('Staff Allocation'!$C$3:$C$62)-ROW('Staff Allocation'!$C$3)+1)/(('Staff Allocation'!$A$3:$A$62=U$1)*('Staff Allocation'!$C$3:$C$62&lt;&gt;"")),ROWS(U$2:U9))),"")</f>
        <v/>
      </c>
      <c r="V9" s="52" t="str">
        <f ca="1">IFERROR(INDEX('Staff Allocation'!$C$3:$C$62,_xludf.AGGREGATE(15,6,(ROW('Staff Allocation'!$C$3:$C$62)-ROW('Staff Allocation'!$C$3)+1)/(('Staff Allocation'!$A$3:$A$62=V$1)*('Staff Allocation'!$C$3:$C$62&lt;&gt;"")),ROWS(V$2:V9))),"")</f>
        <v/>
      </c>
      <c r="W9" s="52" t="str">
        <f ca="1">IFERROR(INDEX('Staff Allocation'!$C$3:$C$62,_xludf.AGGREGATE(15,6,(ROW('Staff Allocation'!$C$3:$C$62)-ROW('Staff Allocation'!$C$3)+1)/(('Staff Allocation'!$A$3:$A$62=W$1)*('Staff Allocation'!$C$3:$C$62&lt;&gt;"")),ROWS(W$2:W9))),"")</f>
        <v/>
      </c>
      <c r="X9" s="52" t="str">
        <f ca="1">IFERROR(INDEX('Staff Allocation'!$C$3:$C$62,_xludf.AGGREGATE(15,6,(ROW('Staff Allocation'!$C$3:$C$62)-ROW('Staff Allocation'!$C$3)+1)/(('Staff Allocation'!$A$3:$A$62=X$1)*('Staff Allocation'!$C$3:$C$62&lt;&gt;"")),ROWS(X$2:X9))),"")</f>
        <v/>
      </c>
      <c r="Y9" s="52" t="str">
        <f ca="1">IFERROR(INDEX('Staff Allocation'!$C$3:$C$62,_xludf.AGGREGATE(15,6,(ROW('Staff Allocation'!$C$3:$C$62)-ROW('Staff Allocation'!$C$3)+1)/(('Staff Allocation'!$A$3:$A$62=Y$1)*('Staff Allocation'!$C$3:$C$62&lt;&gt;"")),ROWS(Y$2:Y9))),"")</f>
        <v/>
      </c>
      <c r="Z9" s="52" t="str">
        <f ca="1">IFERROR(INDEX('Staff Allocation'!$C$3:$C$62,_xludf.AGGREGATE(15,6,(ROW('Staff Allocation'!$C$3:$C$62)-ROW('Staff Allocation'!$C$3)+1)/(('Staff Allocation'!$A$3:$A$62=Z$1)*('Staff Allocation'!$C$3:$C$62&lt;&gt;"")),ROWS(Z$2:Z9))),"")</f>
        <v/>
      </c>
    </row>
    <row r="10" spans="1:26">
      <c r="A10" s="52" t="s">
        <v>69</v>
      </c>
      <c r="B10" s="52" t="str">
        <f>IFERROR(INDEX(Setup!$I$3:$I$17,MATCH($A10,Setup!$H$3:$H$17,0)),"")</f>
        <v>Interior RS Mitra Medika</v>
      </c>
      <c r="C10" s="9">
        <v>46275</v>
      </c>
      <c r="D10" s="9">
        <v>46275</v>
      </c>
      <c r="E10" s="52" t="s">
        <v>61</v>
      </c>
      <c r="F10" s="52" t="s">
        <v>284</v>
      </c>
      <c r="G10" s="52" t="s">
        <v>62</v>
      </c>
      <c r="H10" s="52" t="s">
        <v>118</v>
      </c>
      <c r="I10" s="59" t="s">
        <v>82</v>
      </c>
      <c r="J10" s="52"/>
      <c r="K10" s="52" t="str">
        <f t="shared" si="0"/>
        <v>P0220260910</v>
      </c>
      <c r="L10" s="52" t="str">
        <f ca="1">IFERROR(INDEX('Staff Allocation'!$C$3:$C$62,_xludf.AGGREGATE(15,6,(ROW('Staff Allocation'!$C$3:$C$62)-ROW('Staff Allocation'!$C$3)+1)/(('Staff Allocation'!$A$3:$A$62=L$1)*('Staff Allocation'!$C$3:$C$62&lt;&gt;"")),ROWS(L$2:L10))),"")</f>
        <v/>
      </c>
      <c r="M10" s="52" t="s">
        <v>180</v>
      </c>
      <c r="N10" s="52" t="str">
        <f ca="1">IFERROR(INDEX('Staff Allocation'!$C$3:$C$62,_xludf.AGGREGATE(15,6,(ROW('Staff Allocation'!$C$3:$C$62)-ROW('Staff Allocation'!$C$3)+1)/(('Staff Allocation'!$A$3:$A$62=N$1)*('Staff Allocation'!$C$3:$C$62&lt;&gt;"")),ROWS(N$2:N10))),"")</f>
        <v/>
      </c>
      <c r="O10" s="52" t="str">
        <f ca="1">IFERROR(INDEX('Staff Allocation'!$C$3:$C$62,_xludf.AGGREGATE(15,6,(ROW('Staff Allocation'!$C$3:$C$62)-ROW('Staff Allocation'!$C$3)+1)/(('Staff Allocation'!$A$3:$A$62=O$1)*('Staff Allocation'!$C$3:$C$62&lt;&gt;"")),ROWS(O$2:O10))),"")</f>
        <v/>
      </c>
      <c r="P10" s="52" t="str">
        <f ca="1">IFERROR(INDEX('Staff Allocation'!$C$3:$C$62,_xludf.AGGREGATE(15,6,(ROW('Staff Allocation'!$C$3:$C$62)-ROW('Staff Allocation'!$C$3)+1)/(('Staff Allocation'!$A$3:$A$62=P$1)*('Staff Allocation'!$C$3:$C$62&lt;&gt;"")),ROWS(P$2:P10))),"")</f>
        <v/>
      </c>
      <c r="Q10" s="52" t="str">
        <f ca="1">IFERROR(INDEX('Staff Allocation'!$C$3:$C$62,_xludf.AGGREGATE(15,6,(ROW('Staff Allocation'!$C$3:$C$62)-ROW('Staff Allocation'!$C$3)+1)/(('Staff Allocation'!$A$3:$A$62=Q$1)*('Staff Allocation'!$C$3:$C$62&lt;&gt;"")),ROWS(Q$2:Q10))),"")</f>
        <v/>
      </c>
      <c r="R10" s="52" t="str">
        <f ca="1">IFERROR(INDEX('Staff Allocation'!$C$3:$C$62,_xludf.AGGREGATE(15,6,(ROW('Staff Allocation'!$C$3:$C$62)-ROW('Staff Allocation'!$C$3)+1)/(('Staff Allocation'!$A$3:$A$62=R$1)*('Staff Allocation'!$C$3:$C$62&lt;&gt;"")),ROWS(R$2:R10))),"")</f>
        <v/>
      </c>
      <c r="S10" s="52" t="str">
        <f ca="1">IFERROR(INDEX('Staff Allocation'!$C$3:$C$62,_xludf.AGGREGATE(15,6,(ROW('Staff Allocation'!$C$3:$C$62)-ROW('Staff Allocation'!$C$3)+1)/(('Staff Allocation'!$A$3:$A$62=S$1)*('Staff Allocation'!$C$3:$C$62&lt;&gt;"")),ROWS(S$2:S10))),"")</f>
        <v/>
      </c>
      <c r="T10" s="52" t="str">
        <f ca="1">IFERROR(INDEX('Staff Allocation'!$C$3:$C$62,_xludf.AGGREGATE(15,6,(ROW('Staff Allocation'!$C$3:$C$62)-ROW('Staff Allocation'!$C$3)+1)/(('Staff Allocation'!$A$3:$A$62=T$1)*('Staff Allocation'!$C$3:$C$62&lt;&gt;"")),ROWS(T$2:T10))),"")</f>
        <v/>
      </c>
      <c r="U10" s="52" t="str">
        <f ca="1">IFERROR(INDEX('Staff Allocation'!$C$3:$C$62,_xludf.AGGREGATE(15,6,(ROW('Staff Allocation'!$C$3:$C$62)-ROW('Staff Allocation'!$C$3)+1)/(('Staff Allocation'!$A$3:$A$62=U$1)*('Staff Allocation'!$C$3:$C$62&lt;&gt;"")),ROWS(U$2:U10))),"")</f>
        <v/>
      </c>
      <c r="V10" s="52" t="str">
        <f ca="1">IFERROR(INDEX('Staff Allocation'!$C$3:$C$62,_xludf.AGGREGATE(15,6,(ROW('Staff Allocation'!$C$3:$C$62)-ROW('Staff Allocation'!$C$3)+1)/(('Staff Allocation'!$A$3:$A$62=V$1)*('Staff Allocation'!$C$3:$C$62&lt;&gt;"")),ROWS(V$2:V10))),"")</f>
        <v/>
      </c>
      <c r="W10" s="52" t="str">
        <f ca="1">IFERROR(INDEX('Staff Allocation'!$C$3:$C$62,_xludf.AGGREGATE(15,6,(ROW('Staff Allocation'!$C$3:$C$62)-ROW('Staff Allocation'!$C$3)+1)/(('Staff Allocation'!$A$3:$A$62=W$1)*('Staff Allocation'!$C$3:$C$62&lt;&gt;"")),ROWS(W$2:W10))),"")</f>
        <v/>
      </c>
      <c r="X10" s="52" t="str">
        <f ca="1">IFERROR(INDEX('Staff Allocation'!$C$3:$C$62,_xludf.AGGREGATE(15,6,(ROW('Staff Allocation'!$C$3:$C$62)-ROW('Staff Allocation'!$C$3)+1)/(('Staff Allocation'!$A$3:$A$62=X$1)*('Staff Allocation'!$C$3:$C$62&lt;&gt;"")),ROWS(X$2:X10))),"")</f>
        <v/>
      </c>
      <c r="Y10" s="52" t="str">
        <f ca="1">IFERROR(INDEX('Staff Allocation'!$C$3:$C$62,_xludf.AGGREGATE(15,6,(ROW('Staff Allocation'!$C$3:$C$62)-ROW('Staff Allocation'!$C$3)+1)/(('Staff Allocation'!$A$3:$A$62=Y$1)*('Staff Allocation'!$C$3:$C$62&lt;&gt;"")),ROWS(Y$2:Y10))),"")</f>
        <v/>
      </c>
      <c r="Z10" s="52" t="str">
        <f ca="1">IFERROR(INDEX('Staff Allocation'!$C$3:$C$62,_xludf.AGGREGATE(15,6,(ROW('Staff Allocation'!$C$3:$C$62)-ROW('Staff Allocation'!$C$3)+1)/(('Staff Allocation'!$A$3:$A$62=Z$1)*('Staff Allocation'!$C$3:$C$62&lt;&gt;"")),ROWS(Z$2:Z10))),"")</f>
        <v/>
      </c>
    </row>
    <row r="11" spans="1:26">
      <c r="A11" s="58" t="s">
        <v>50</v>
      </c>
      <c r="B11" s="52" t="str">
        <f>IFERROR(INDEX(Setup!$I$3:$I$17,MATCH($A11,Setup!$H$3:$H$17,0)),"")</f>
        <v>Rumah Pak Nata</v>
      </c>
      <c r="C11" s="9">
        <v>46277</v>
      </c>
      <c r="D11" s="9">
        <v>46278</v>
      </c>
      <c r="E11" s="52" t="s">
        <v>124</v>
      </c>
      <c r="F11" s="58" t="s">
        <v>283</v>
      </c>
      <c r="G11" s="52" t="s">
        <v>93</v>
      </c>
      <c r="H11" s="52" t="s">
        <v>67</v>
      </c>
      <c r="I11" s="59" t="s">
        <v>82</v>
      </c>
      <c r="J11" s="52"/>
      <c r="K11" s="52" t="str">
        <f t="shared" si="0"/>
        <v>P0120260912</v>
      </c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</row>
    <row r="12" spans="1:26">
      <c r="A12" s="38" t="s">
        <v>69</v>
      </c>
      <c r="B12" t="str">
        <f>IFERROR(INDEX(Setup!$I$3:$I$17,MATCH($A12,Setup!$H$3:$H$17,0)),"")</f>
        <v>Interior RS Mitra Medika</v>
      </c>
      <c r="C12" s="9">
        <v>46278</v>
      </c>
      <c r="D12" s="9">
        <v>46269</v>
      </c>
      <c r="E12" s="58" t="s">
        <v>78</v>
      </c>
      <c r="F12" s="38" t="s">
        <v>286</v>
      </c>
      <c r="G12" s="18" t="s">
        <v>71</v>
      </c>
      <c r="H12" s="18" t="s">
        <v>98</v>
      </c>
      <c r="I12" s="58" t="s">
        <v>82</v>
      </c>
      <c r="K12" t="str">
        <f t="shared" si="0"/>
        <v>P0220260913</v>
      </c>
      <c r="L12" s="18" t="str">
        <f ca="1">IFERROR(INDEX('Staff Allocation'!$C$3:$C$62,_xludf.AGGREGATE(15,6,(ROW('Staff Allocation'!$C$3:$C$62)-ROW('Staff Allocation'!$C$3)+1)/(('Staff Allocation'!$A$3:$A$62=L$1)*('Staff Allocation'!$C$3:$C$62&lt;&gt;"")),ROWS(L$2:L12))),"")</f>
        <v/>
      </c>
      <c r="M12" s="18" t="str">
        <f ca="1">IFERROR(INDEX('Staff Allocation'!$C$3:$C$62,_xludf.AGGREGATE(15,6,(ROW('Staff Allocation'!$C$3:$C$62)-ROW('Staff Allocation'!$C$3)+1)/(('Staff Allocation'!$A$3:$A$62=M$1)*('Staff Allocation'!$C$3:$C$62&lt;&gt;"")),ROWS(M$2:M12))),"")</f>
        <v/>
      </c>
      <c r="N12" s="18" t="str">
        <f ca="1">IFERROR(INDEX('Staff Allocation'!$C$3:$C$62,_xludf.AGGREGATE(15,6,(ROW('Staff Allocation'!$C$3:$C$62)-ROW('Staff Allocation'!$C$3)+1)/(('Staff Allocation'!$A$3:$A$62=N$1)*('Staff Allocation'!$C$3:$C$62&lt;&gt;"")),ROWS(N$2:N12))),"")</f>
        <v/>
      </c>
      <c r="O12" s="18" t="str">
        <f ca="1">IFERROR(INDEX('Staff Allocation'!$C$3:$C$62,_xludf.AGGREGATE(15,6,(ROW('Staff Allocation'!$C$3:$C$62)-ROW('Staff Allocation'!$C$3)+1)/(('Staff Allocation'!$A$3:$A$62=O$1)*('Staff Allocation'!$C$3:$C$62&lt;&gt;"")),ROWS(O$2:O12))),"")</f>
        <v/>
      </c>
      <c r="P12" s="18" t="str">
        <f ca="1">IFERROR(INDEX('Staff Allocation'!$C$3:$C$62,_xludf.AGGREGATE(15,6,(ROW('Staff Allocation'!$C$3:$C$62)-ROW('Staff Allocation'!$C$3)+1)/(('Staff Allocation'!$A$3:$A$62=P$1)*('Staff Allocation'!$C$3:$C$62&lt;&gt;"")),ROWS(P$2:P12))),"")</f>
        <v/>
      </c>
      <c r="Q12" s="18" t="str">
        <f ca="1">IFERROR(INDEX('Staff Allocation'!$C$3:$C$62,_xludf.AGGREGATE(15,6,(ROW('Staff Allocation'!$C$3:$C$62)-ROW('Staff Allocation'!$C$3)+1)/(('Staff Allocation'!$A$3:$A$62=Q$1)*('Staff Allocation'!$C$3:$C$62&lt;&gt;"")),ROWS(Q$2:Q12))),"")</f>
        <v/>
      </c>
      <c r="R12" s="18" t="str">
        <f ca="1">IFERROR(INDEX('Staff Allocation'!$C$3:$C$62,_xludf.AGGREGATE(15,6,(ROW('Staff Allocation'!$C$3:$C$62)-ROW('Staff Allocation'!$C$3)+1)/(('Staff Allocation'!$A$3:$A$62=R$1)*('Staff Allocation'!$C$3:$C$62&lt;&gt;"")),ROWS(R$2:R12))),"")</f>
        <v/>
      </c>
      <c r="S12" s="18" t="str">
        <f ca="1">IFERROR(INDEX('Staff Allocation'!$C$3:$C$62,_xludf.AGGREGATE(15,6,(ROW('Staff Allocation'!$C$3:$C$62)-ROW('Staff Allocation'!$C$3)+1)/(('Staff Allocation'!$A$3:$A$62=S$1)*('Staff Allocation'!$C$3:$C$62&lt;&gt;"")),ROWS(S$2:S12))),"")</f>
        <v/>
      </c>
      <c r="T12" s="18" t="str">
        <f ca="1">IFERROR(INDEX('Staff Allocation'!$C$3:$C$62,_xludf.AGGREGATE(15,6,(ROW('Staff Allocation'!$C$3:$C$62)-ROW('Staff Allocation'!$C$3)+1)/(('Staff Allocation'!$A$3:$A$62=T$1)*('Staff Allocation'!$C$3:$C$62&lt;&gt;"")),ROWS(T$2:T12))),"")</f>
        <v/>
      </c>
      <c r="U12" s="18" t="str">
        <f ca="1">IFERROR(INDEX('Staff Allocation'!$C$3:$C$62,_xludf.AGGREGATE(15,6,(ROW('Staff Allocation'!$C$3:$C$62)-ROW('Staff Allocation'!$C$3)+1)/(('Staff Allocation'!$A$3:$A$62=U$1)*('Staff Allocation'!$C$3:$C$62&lt;&gt;"")),ROWS(U$2:U12))),"")</f>
        <v/>
      </c>
      <c r="V12" s="18" t="str">
        <f ca="1">IFERROR(INDEX('Staff Allocation'!$C$3:$C$62,_xludf.AGGREGATE(15,6,(ROW('Staff Allocation'!$C$3:$C$62)-ROW('Staff Allocation'!$C$3)+1)/(('Staff Allocation'!$A$3:$A$62=V$1)*('Staff Allocation'!$C$3:$C$62&lt;&gt;"")),ROWS(V$2:V12))),"")</f>
        <v/>
      </c>
      <c r="W12" s="18" t="str">
        <f ca="1">IFERROR(INDEX('Staff Allocation'!$C$3:$C$62,_xludf.AGGREGATE(15,6,(ROW('Staff Allocation'!$C$3:$C$62)-ROW('Staff Allocation'!$C$3)+1)/(('Staff Allocation'!$A$3:$A$62=W$1)*('Staff Allocation'!$C$3:$C$62&lt;&gt;"")),ROWS(W$2:W12))),"")</f>
        <v/>
      </c>
      <c r="X12" s="18" t="str">
        <f ca="1">IFERROR(INDEX('Staff Allocation'!$C$3:$C$62,_xludf.AGGREGATE(15,6,(ROW('Staff Allocation'!$C$3:$C$62)-ROW('Staff Allocation'!$C$3)+1)/(('Staff Allocation'!$A$3:$A$62=X$1)*('Staff Allocation'!$C$3:$C$62&lt;&gt;"")),ROWS(X$2:X12))),"")</f>
        <v/>
      </c>
      <c r="Y12" s="18" t="str">
        <f ca="1">IFERROR(INDEX('Staff Allocation'!$C$3:$C$62,_xludf.AGGREGATE(15,6,(ROW('Staff Allocation'!$C$3:$C$62)-ROW('Staff Allocation'!$C$3)+1)/(('Staff Allocation'!$A$3:$A$62=Y$1)*('Staff Allocation'!$C$3:$C$62&lt;&gt;"")),ROWS(Y$2:Y12))),"")</f>
        <v/>
      </c>
      <c r="Z12" s="18" t="str">
        <f ca="1">IFERROR(INDEX('Staff Allocation'!$C$3:$C$62,_xludf.AGGREGATE(15,6,(ROW('Staff Allocation'!$C$3:$C$62)-ROW('Staff Allocation'!$C$3)+1)/(('Staff Allocation'!$A$3:$A$62=Z$1)*('Staff Allocation'!$C$3:$C$62&lt;&gt;"")),ROWS(Z$2:Z12))),"")</f>
        <v/>
      </c>
    </row>
    <row r="13" spans="1:26">
      <c r="B13" t="str">
        <f>IFERROR(INDEX(Setup!$I$3:$I$17,MATCH($A13,Setup!$H$3:$H$17,0)),"")</f>
        <v/>
      </c>
      <c r="C13" s="9"/>
      <c r="D13" s="9"/>
      <c r="K13" t="str">
        <f t="shared" si="0"/>
        <v/>
      </c>
    </row>
    <row r="14" spans="1:26">
      <c r="B14" t="str">
        <f>IFERROR(INDEX(Setup!$I$3:$I$17,MATCH($A14,Setup!$H$3:$H$17,0)),"")</f>
        <v/>
      </c>
      <c r="C14" s="9"/>
      <c r="D14" s="9"/>
      <c r="K14" t="str">
        <f t="shared" si="0"/>
        <v/>
      </c>
    </row>
    <row r="15" spans="1:26">
      <c r="B15" t="str">
        <f>IFERROR(INDEX(Setup!$I$3:$I$17,MATCH($A15,Setup!$H$3:$H$17,0)),"")</f>
        <v/>
      </c>
      <c r="C15" s="9"/>
      <c r="D15" s="9"/>
      <c r="K15" t="str">
        <f t="shared" si="0"/>
        <v/>
      </c>
    </row>
    <row r="16" spans="1:26">
      <c r="B16" t="str">
        <f>IFERROR(INDEX(Setup!$I$3:$I$17,MATCH($A16,Setup!$H$3:$H$17,0)),"")</f>
        <v/>
      </c>
      <c r="C16" s="9"/>
      <c r="D16" s="9"/>
      <c r="K16" t="str">
        <f t="shared" si="0"/>
        <v/>
      </c>
    </row>
    <row r="17" spans="2:11">
      <c r="B17" t="str">
        <f>IFERROR(INDEX(Setup!$I$3:$I$17,MATCH($A17,Setup!$H$3:$H$17,0)),"")</f>
        <v/>
      </c>
      <c r="C17" s="9"/>
      <c r="D17" s="9"/>
      <c r="K17" t="str">
        <f t="shared" si="0"/>
        <v/>
      </c>
    </row>
    <row r="18" spans="2:11">
      <c r="B18" t="str">
        <f>IFERROR(INDEX(Setup!$I$3:$I$17,MATCH($A18,Setup!$H$3:$H$17,0)),"")</f>
        <v/>
      </c>
      <c r="C18" s="9"/>
      <c r="D18" s="9"/>
      <c r="K18" t="str">
        <f t="shared" si="0"/>
        <v/>
      </c>
    </row>
    <row r="19" spans="2:11">
      <c r="B19" t="str">
        <f>IFERROR(INDEX(Setup!$I$3:$I$17,MATCH($A19,Setup!$H$3:$H$17,0)),"")</f>
        <v/>
      </c>
      <c r="C19" s="9"/>
      <c r="D19" s="9"/>
      <c r="K19" t="str">
        <f t="shared" si="0"/>
        <v/>
      </c>
    </row>
    <row r="20" spans="2:11">
      <c r="B20" t="str">
        <f>IFERROR(INDEX(Setup!$I$3:$I$17,MATCH($A20,Setup!$H$3:$H$17,0)),"")</f>
        <v/>
      </c>
      <c r="C20" s="9"/>
      <c r="D20" s="9"/>
      <c r="K20" t="str">
        <f t="shared" si="0"/>
        <v/>
      </c>
    </row>
    <row r="21" spans="2:11">
      <c r="B21" t="str">
        <f>IFERROR(INDEX(Setup!$I$3:$I$17,MATCH($A21,Setup!$H$3:$H$17,0)),"")</f>
        <v/>
      </c>
      <c r="C21" s="9"/>
      <c r="D21" s="9"/>
      <c r="K21" t="str">
        <f t="shared" si="0"/>
        <v/>
      </c>
    </row>
    <row r="22" spans="2:11">
      <c r="B22" t="str">
        <f>IFERROR(INDEX(Setup!$I$3:$I$17,MATCH($A22,Setup!$H$3:$H$17,0)),"")</f>
        <v/>
      </c>
      <c r="C22" s="9"/>
      <c r="D22" s="9"/>
      <c r="K22" t="str">
        <f t="shared" si="0"/>
        <v/>
      </c>
    </row>
    <row r="23" spans="2:11">
      <c r="B23" t="str">
        <f>IFERROR(INDEX(Setup!$I$3:$I$17,MATCH($A23,Setup!$H$3:$H$17,0)),"")</f>
        <v/>
      </c>
      <c r="C23" s="9"/>
      <c r="D23" s="9"/>
      <c r="K23" t="str">
        <f t="shared" si="0"/>
        <v/>
      </c>
    </row>
    <row r="24" spans="2:11">
      <c r="B24" t="str">
        <f>IFERROR(INDEX(Setup!$I$3:$I$17,MATCH($A24,Setup!$H$3:$H$17,0)),"")</f>
        <v/>
      </c>
      <c r="C24" s="9"/>
      <c r="D24" s="9"/>
      <c r="K24" t="str">
        <f t="shared" si="0"/>
        <v/>
      </c>
    </row>
    <row r="25" spans="2:11">
      <c r="B25" t="str">
        <f>IFERROR(INDEX(Setup!$I$3:$I$17,MATCH($A25,Setup!$H$3:$H$17,0)),"")</f>
        <v/>
      </c>
      <c r="C25" s="9"/>
      <c r="D25" s="9"/>
      <c r="K25" t="str">
        <f t="shared" si="0"/>
        <v/>
      </c>
    </row>
    <row r="26" spans="2:11">
      <c r="B26" t="str">
        <f>IFERROR(INDEX(Setup!$I$3:$I$17,MATCH($A26,Setup!$H$3:$H$17,0)),"")</f>
        <v/>
      </c>
      <c r="C26" s="9"/>
      <c r="D26" s="9"/>
      <c r="K26" t="str">
        <f t="shared" si="0"/>
        <v/>
      </c>
    </row>
    <row r="27" spans="2:11">
      <c r="B27" t="str">
        <f>IFERROR(INDEX(Setup!$I$3:$I$17,MATCH($A27,Setup!$H$3:$H$17,0)),"")</f>
        <v/>
      </c>
      <c r="C27" s="9"/>
      <c r="D27" s="9"/>
      <c r="K27" t="str">
        <f t="shared" si="0"/>
        <v/>
      </c>
    </row>
    <row r="28" spans="2:11">
      <c r="B28" t="str">
        <f>IFERROR(INDEX(Setup!$I$3:$I$17,MATCH($A28,Setup!$H$3:$H$17,0)),"")</f>
        <v/>
      </c>
      <c r="C28" s="9"/>
      <c r="D28" s="9"/>
      <c r="K28" t="str">
        <f t="shared" si="0"/>
        <v/>
      </c>
    </row>
    <row r="29" spans="2:11">
      <c r="B29" t="str">
        <f>IFERROR(INDEX(Setup!$I$3:$I$17,MATCH($A29,Setup!$H$3:$H$17,0)),"")</f>
        <v/>
      </c>
      <c r="C29" s="9"/>
      <c r="D29" s="9"/>
      <c r="K29" t="str">
        <f t="shared" si="0"/>
        <v/>
      </c>
    </row>
    <row r="30" spans="2:11">
      <c r="B30" t="str">
        <f>IFERROR(INDEX(Setup!$I$3:$I$17,MATCH($A30,Setup!$H$3:$H$17,0)),"")</f>
        <v/>
      </c>
      <c r="C30" s="9"/>
      <c r="D30" s="9"/>
      <c r="K30" t="str">
        <f t="shared" si="0"/>
        <v/>
      </c>
    </row>
    <row r="31" spans="2:11">
      <c r="B31" t="str">
        <f>IFERROR(INDEX(Setup!$I$3:$I$17,MATCH($A31,Setup!$H$3:$H$17,0)),"")</f>
        <v/>
      </c>
      <c r="C31" s="9"/>
      <c r="D31" s="9"/>
      <c r="K31" t="str">
        <f t="shared" si="0"/>
        <v/>
      </c>
    </row>
    <row r="32" spans="2:11">
      <c r="B32" t="str">
        <f>IFERROR(INDEX(Setup!$I$3:$I$17,MATCH($A32,Setup!$H$3:$H$17,0)),"")</f>
        <v/>
      </c>
      <c r="C32" s="9"/>
      <c r="D32" s="9"/>
      <c r="K32" t="str">
        <f t="shared" si="0"/>
        <v/>
      </c>
    </row>
    <row r="33" spans="2:11">
      <c r="B33" t="str">
        <f>IFERROR(INDEX(Setup!$I$3:$I$17,MATCH($A33,Setup!$H$3:$H$17,0)),"")</f>
        <v/>
      </c>
      <c r="C33" s="9"/>
      <c r="D33" s="9"/>
      <c r="K33" t="str">
        <f t="shared" si="0"/>
        <v/>
      </c>
    </row>
    <row r="34" spans="2:11">
      <c r="B34" t="str">
        <f>IFERROR(INDEX(Setup!$I$3:$I$17,MATCH($A34,Setup!$H$3:$H$17,0)),"")</f>
        <v/>
      </c>
      <c r="C34" s="9"/>
      <c r="D34" s="9"/>
      <c r="K34" t="str">
        <f t="shared" si="0"/>
        <v/>
      </c>
    </row>
    <row r="35" spans="2:11">
      <c r="B35" t="str">
        <f>IFERROR(INDEX(Setup!$I$3:$I$17,MATCH($A35,Setup!$H$3:$H$17,0)),"")</f>
        <v/>
      </c>
      <c r="C35" s="9"/>
      <c r="D35" s="9"/>
      <c r="K35" t="str">
        <f t="shared" si="0"/>
        <v/>
      </c>
    </row>
    <row r="36" spans="2:11">
      <c r="B36" t="str">
        <f>IFERROR(INDEX(Setup!$I$3:$I$17,MATCH($A36,Setup!$H$3:$H$17,0)),"")</f>
        <v/>
      </c>
      <c r="C36" s="9"/>
      <c r="D36" s="9"/>
      <c r="K36" t="str">
        <f t="shared" si="0"/>
        <v/>
      </c>
    </row>
    <row r="37" spans="2:11">
      <c r="B37" t="str">
        <f>IFERROR(INDEX(Setup!$I$3:$I$17,MATCH($A37,Setup!$H$3:$H$17,0)),"")</f>
        <v/>
      </c>
      <c r="C37" s="9"/>
      <c r="D37" s="9"/>
      <c r="K37" t="str">
        <f t="shared" si="0"/>
        <v/>
      </c>
    </row>
    <row r="38" spans="2:11">
      <c r="B38" t="str">
        <f>IFERROR(INDEX(Setup!$I$3:$I$17,MATCH($A38,Setup!$H$3:$H$17,0)),"")</f>
        <v/>
      </c>
      <c r="C38" s="9"/>
      <c r="D38" s="9"/>
      <c r="K38" t="str">
        <f t="shared" si="0"/>
        <v/>
      </c>
    </row>
    <row r="39" spans="2:11">
      <c r="B39" t="str">
        <f>IFERROR(INDEX(Setup!$I$3:$I$17,MATCH($A39,Setup!$H$3:$H$17,0)),"")</f>
        <v/>
      </c>
      <c r="C39" s="9"/>
      <c r="D39" s="9"/>
      <c r="K39" t="str">
        <f t="shared" si="0"/>
        <v/>
      </c>
    </row>
    <row r="40" spans="2:11">
      <c r="B40" t="str">
        <f>IFERROR(INDEX(Setup!$I$3:$I$17,MATCH($A40,Setup!$H$3:$H$17,0)),"")</f>
        <v/>
      </c>
      <c r="C40" s="9"/>
      <c r="D40" s="9"/>
      <c r="K40" t="str">
        <f t="shared" ref="K40:K71" si="1">IF(OR($A40="",$C40=""),"",$A40&amp;TEXT($C40,"yyyymmdd"))</f>
        <v/>
      </c>
    </row>
    <row r="41" spans="2:11">
      <c r="B41" t="str">
        <f>IFERROR(INDEX(Setup!$I$3:$I$17,MATCH($A41,Setup!$H$3:$H$17,0)),"")</f>
        <v/>
      </c>
      <c r="C41" s="9"/>
      <c r="D41" s="9"/>
      <c r="K41" t="str">
        <f t="shared" si="1"/>
        <v/>
      </c>
    </row>
    <row r="42" spans="2:11">
      <c r="B42" t="str">
        <f>IFERROR(INDEX(Setup!$I$3:$I$17,MATCH($A42,Setup!$H$3:$H$17,0)),"")</f>
        <v/>
      </c>
      <c r="C42" s="9"/>
      <c r="D42" s="9"/>
      <c r="K42" t="str">
        <f t="shared" si="1"/>
        <v/>
      </c>
    </row>
    <row r="43" spans="2:11">
      <c r="B43" t="str">
        <f>IFERROR(INDEX(Setup!$I$3:$I$17,MATCH($A43,Setup!$H$3:$H$17,0)),"")</f>
        <v/>
      </c>
      <c r="C43" s="9"/>
      <c r="D43" s="9"/>
      <c r="K43" t="str">
        <f t="shared" si="1"/>
        <v/>
      </c>
    </row>
    <row r="44" spans="2:11">
      <c r="B44" t="str">
        <f>IFERROR(INDEX(Setup!$I$3:$I$17,MATCH($A44,Setup!$H$3:$H$17,0)),"")</f>
        <v/>
      </c>
      <c r="C44" s="9"/>
      <c r="D44" s="9"/>
      <c r="K44" t="str">
        <f t="shared" si="1"/>
        <v/>
      </c>
    </row>
    <row r="45" spans="2:11">
      <c r="B45" t="str">
        <f>IFERROR(INDEX(Setup!$I$3:$I$17,MATCH($A45,Setup!$H$3:$H$17,0)),"")</f>
        <v/>
      </c>
      <c r="C45" s="9"/>
      <c r="D45" s="9"/>
      <c r="K45" t="str">
        <f t="shared" si="1"/>
        <v/>
      </c>
    </row>
    <row r="46" spans="2:11">
      <c r="B46" t="str">
        <f>IFERROR(INDEX(Setup!$I$3:$I$17,MATCH($A46,Setup!$H$3:$H$17,0)),"")</f>
        <v/>
      </c>
      <c r="C46" s="9"/>
      <c r="D46" s="9"/>
      <c r="K46" t="str">
        <f t="shared" si="1"/>
        <v/>
      </c>
    </row>
    <row r="47" spans="2:11">
      <c r="B47" t="str">
        <f>IFERROR(INDEX(Setup!$I$3:$I$17,MATCH($A47,Setup!$H$3:$H$17,0)),"")</f>
        <v/>
      </c>
      <c r="C47" s="9"/>
      <c r="D47" s="9"/>
      <c r="K47" t="str">
        <f t="shared" si="1"/>
        <v/>
      </c>
    </row>
    <row r="48" spans="2:11">
      <c r="B48" t="str">
        <f>IFERROR(INDEX(Setup!$I$3:$I$17,MATCH($A48,Setup!$H$3:$H$17,0)),"")</f>
        <v/>
      </c>
      <c r="C48" s="9"/>
      <c r="D48" s="9"/>
      <c r="K48" t="str">
        <f t="shared" si="1"/>
        <v/>
      </c>
    </row>
    <row r="49" spans="2:11">
      <c r="B49" t="str">
        <f>IFERROR(INDEX(Setup!$I$3:$I$17,MATCH($A49,Setup!$H$3:$H$17,0)),"")</f>
        <v/>
      </c>
      <c r="C49" s="9"/>
      <c r="D49" s="9"/>
      <c r="K49" t="str">
        <f t="shared" si="1"/>
        <v/>
      </c>
    </row>
    <row r="50" spans="2:11">
      <c r="B50" t="str">
        <f>IFERROR(INDEX(Setup!$I$3:$I$17,MATCH($A50,Setup!$H$3:$H$17,0)),"")</f>
        <v/>
      </c>
      <c r="C50" s="9"/>
      <c r="D50" s="9"/>
      <c r="K50" t="str">
        <f t="shared" si="1"/>
        <v/>
      </c>
    </row>
    <row r="51" spans="2:11">
      <c r="B51" t="str">
        <f>IFERROR(INDEX(Setup!$I$3:$I$17,MATCH($A51,Setup!$H$3:$H$17,0)),"")</f>
        <v/>
      </c>
      <c r="C51" s="9"/>
      <c r="D51" s="9"/>
      <c r="K51" t="str">
        <f t="shared" si="1"/>
        <v/>
      </c>
    </row>
    <row r="52" spans="2:11">
      <c r="B52" t="str">
        <f>IFERROR(INDEX(Setup!$I$3:$I$17,MATCH($A52,Setup!$H$3:$H$17,0)),"")</f>
        <v/>
      </c>
      <c r="C52" s="9"/>
      <c r="D52" s="9"/>
      <c r="K52" t="str">
        <f t="shared" si="1"/>
        <v/>
      </c>
    </row>
    <row r="53" spans="2:11">
      <c r="B53" t="str">
        <f>IFERROR(INDEX(Setup!$I$3:$I$17,MATCH($A53,Setup!$H$3:$H$17,0)),"")</f>
        <v/>
      </c>
      <c r="C53" s="9"/>
      <c r="D53" s="9"/>
      <c r="K53" t="str">
        <f t="shared" si="1"/>
        <v/>
      </c>
    </row>
    <row r="54" spans="2:11">
      <c r="B54" t="str">
        <f>IFERROR(INDEX(Setup!$I$3:$I$17,MATCH($A54,Setup!$H$3:$H$17,0)),"")</f>
        <v/>
      </c>
      <c r="C54" s="9"/>
      <c r="D54" s="9"/>
      <c r="K54" t="str">
        <f t="shared" si="1"/>
        <v/>
      </c>
    </row>
    <row r="55" spans="2:11">
      <c r="B55" t="str">
        <f>IFERROR(INDEX(Setup!$I$3:$I$17,MATCH($A55,Setup!$H$3:$H$17,0)),"")</f>
        <v/>
      </c>
      <c r="C55" s="9"/>
      <c r="D55" s="9"/>
      <c r="K55" t="str">
        <f t="shared" si="1"/>
        <v/>
      </c>
    </row>
    <row r="56" spans="2:11">
      <c r="B56" t="str">
        <f>IFERROR(INDEX(Setup!$I$3:$I$17,MATCH($A56,Setup!$H$3:$H$17,0)),"")</f>
        <v/>
      </c>
      <c r="C56" s="9"/>
      <c r="D56" s="9"/>
      <c r="K56" t="str">
        <f t="shared" si="1"/>
        <v/>
      </c>
    </row>
    <row r="57" spans="2:11">
      <c r="B57" t="str">
        <f>IFERROR(INDEX(Setup!$I$3:$I$17,MATCH($A57,Setup!$H$3:$H$17,0)),"")</f>
        <v/>
      </c>
      <c r="C57" s="9"/>
      <c r="D57" s="9"/>
      <c r="K57" t="str">
        <f t="shared" si="1"/>
        <v/>
      </c>
    </row>
    <row r="58" spans="2:11">
      <c r="B58" t="str">
        <f>IFERROR(INDEX(Setup!$I$3:$I$17,MATCH($A58,Setup!$H$3:$H$17,0)),"")</f>
        <v/>
      </c>
      <c r="C58" s="9"/>
      <c r="D58" s="9"/>
      <c r="K58" t="str">
        <f t="shared" si="1"/>
        <v/>
      </c>
    </row>
    <row r="59" spans="2:11">
      <c r="B59" t="str">
        <f>IFERROR(INDEX(Setup!$I$3:$I$17,MATCH($A59,Setup!$H$3:$H$17,0)),"")</f>
        <v/>
      </c>
      <c r="C59" s="9"/>
      <c r="D59" s="9"/>
      <c r="K59" t="str">
        <f t="shared" si="1"/>
        <v/>
      </c>
    </row>
    <row r="60" spans="2:11">
      <c r="B60" t="str">
        <f>IFERROR(INDEX(Setup!$I$3:$I$17,MATCH($A60,Setup!$H$3:$H$17,0)),"")</f>
        <v/>
      </c>
      <c r="C60" s="9"/>
      <c r="D60" s="9"/>
      <c r="K60" t="str">
        <f t="shared" si="1"/>
        <v/>
      </c>
    </row>
    <row r="61" spans="2:11">
      <c r="B61" t="str">
        <f>IFERROR(INDEX(Setup!$I$3:$I$17,MATCH($A61,Setup!$H$3:$H$17,0)),"")</f>
        <v/>
      </c>
      <c r="C61" s="9"/>
      <c r="D61" s="9"/>
      <c r="K61" t="str">
        <f t="shared" si="1"/>
        <v/>
      </c>
    </row>
    <row r="62" spans="2:11">
      <c r="B62" t="str">
        <f>IFERROR(INDEX(Setup!$I$3:$I$17,MATCH($A62,Setup!$H$3:$H$17,0)),"")</f>
        <v/>
      </c>
      <c r="C62" s="9"/>
      <c r="D62" s="9"/>
      <c r="K62" t="str">
        <f t="shared" si="1"/>
        <v/>
      </c>
    </row>
    <row r="63" spans="2:11">
      <c r="B63" t="str">
        <f>IFERROR(INDEX(Setup!$I$3:$I$17,MATCH($A63,Setup!$H$3:$H$17,0)),"")</f>
        <v/>
      </c>
      <c r="C63" s="9"/>
      <c r="D63" s="9"/>
      <c r="K63" t="str">
        <f t="shared" si="1"/>
        <v/>
      </c>
    </row>
    <row r="64" spans="2:11">
      <c r="B64" t="str">
        <f>IFERROR(INDEX(Setup!$I$3:$I$17,MATCH($A64,Setup!$H$3:$H$17,0)),"")</f>
        <v/>
      </c>
      <c r="C64" s="9"/>
      <c r="D64" s="9"/>
      <c r="K64" t="str">
        <f t="shared" si="1"/>
        <v/>
      </c>
    </row>
    <row r="65" spans="2:11">
      <c r="B65" t="str">
        <f>IFERROR(INDEX(Setup!$I$3:$I$17,MATCH($A65,Setup!$H$3:$H$17,0)),"")</f>
        <v/>
      </c>
      <c r="C65" s="9"/>
      <c r="D65" s="9"/>
      <c r="K65" t="str">
        <f t="shared" si="1"/>
        <v/>
      </c>
    </row>
    <row r="66" spans="2:11">
      <c r="B66" t="str">
        <f>IFERROR(INDEX(Setup!$I$3:$I$17,MATCH($A66,Setup!$H$3:$H$17,0)),"")</f>
        <v/>
      </c>
      <c r="C66" s="9"/>
      <c r="D66" s="9"/>
      <c r="K66" t="str">
        <f t="shared" si="1"/>
        <v/>
      </c>
    </row>
    <row r="67" spans="2:11">
      <c r="B67" t="str">
        <f>IFERROR(INDEX(Setup!$I$3:$I$17,MATCH($A67,Setup!$H$3:$H$17,0)),"")</f>
        <v/>
      </c>
      <c r="C67" s="9"/>
      <c r="D67" s="9"/>
      <c r="K67" t="str">
        <f t="shared" si="1"/>
        <v/>
      </c>
    </row>
    <row r="68" spans="2:11">
      <c r="B68" t="str">
        <f>IFERROR(INDEX(Setup!$I$3:$I$17,MATCH($A68,Setup!$H$3:$H$17,0)),"")</f>
        <v/>
      </c>
      <c r="C68" s="9"/>
      <c r="D68" s="9"/>
      <c r="K68" t="str">
        <f t="shared" si="1"/>
        <v/>
      </c>
    </row>
    <row r="69" spans="2:11">
      <c r="B69" t="str">
        <f>IFERROR(INDEX(Setup!$I$3:$I$17,MATCH($A69,Setup!$H$3:$H$17,0)),"")</f>
        <v/>
      </c>
      <c r="C69" s="9"/>
      <c r="D69" s="9"/>
      <c r="K69" t="str">
        <f t="shared" si="1"/>
        <v/>
      </c>
    </row>
    <row r="70" spans="2:11">
      <c r="B70" t="str">
        <f>IFERROR(INDEX(Setup!$I$3:$I$17,MATCH($A70,Setup!$H$3:$H$17,0)),"")</f>
        <v/>
      </c>
      <c r="C70" s="9"/>
      <c r="D70" s="9"/>
      <c r="K70" t="str">
        <f t="shared" si="1"/>
        <v/>
      </c>
    </row>
    <row r="71" spans="2:11">
      <c r="B71" t="str">
        <f>IFERROR(INDEX(Setup!$I$3:$I$17,MATCH($A71,Setup!$H$3:$H$17,0)),"")</f>
        <v/>
      </c>
      <c r="C71" s="9"/>
      <c r="D71" s="9"/>
      <c r="K71" t="str">
        <f t="shared" si="1"/>
        <v/>
      </c>
    </row>
    <row r="72" spans="2:11">
      <c r="B72" t="str">
        <f>IFERROR(INDEX(Setup!$I$3:$I$17,MATCH($A72,Setup!$H$3:$H$17,0)),"")</f>
        <v/>
      </c>
      <c r="C72" s="9"/>
      <c r="D72" s="9"/>
      <c r="K72" t="str">
        <f t="shared" ref="K72:K89" si="2">IF(OR($A72="",$C72=""),"",$A72&amp;TEXT($C72,"yyyymmdd"))</f>
        <v/>
      </c>
    </row>
    <row r="73" spans="2:11">
      <c r="B73" t="str">
        <f>IFERROR(INDEX(Setup!$I$3:$I$17,MATCH($A73,Setup!$H$3:$H$17,0)),"")</f>
        <v/>
      </c>
      <c r="C73" s="9"/>
      <c r="D73" s="9"/>
      <c r="K73" t="str">
        <f t="shared" si="2"/>
        <v/>
      </c>
    </row>
    <row r="74" spans="2:11">
      <c r="B74" t="str">
        <f>IFERROR(INDEX(Setup!$I$3:$I$17,MATCH($A74,Setup!$H$3:$H$17,0)),"")</f>
        <v/>
      </c>
      <c r="C74" s="9"/>
      <c r="D74" s="9"/>
      <c r="K74" t="str">
        <f t="shared" si="2"/>
        <v/>
      </c>
    </row>
    <row r="75" spans="2:11">
      <c r="B75" t="str">
        <f>IFERROR(INDEX(Setup!$I$3:$I$17,MATCH($A75,Setup!$H$3:$H$17,0)),"")</f>
        <v/>
      </c>
      <c r="C75" s="9"/>
      <c r="D75" s="9"/>
      <c r="K75" t="str">
        <f t="shared" si="2"/>
        <v/>
      </c>
    </row>
    <row r="76" spans="2:11">
      <c r="B76" t="str">
        <f>IFERROR(INDEX(Setup!$I$3:$I$17,MATCH($A76,Setup!$H$3:$H$17,0)),"")</f>
        <v/>
      </c>
      <c r="C76" s="9"/>
      <c r="D76" s="9"/>
      <c r="K76" t="str">
        <f t="shared" si="2"/>
        <v/>
      </c>
    </row>
    <row r="77" spans="2:11">
      <c r="B77" t="str">
        <f>IFERROR(INDEX(Setup!$I$3:$I$17,MATCH($A77,Setup!$H$3:$H$17,0)),"")</f>
        <v/>
      </c>
      <c r="C77" s="9"/>
      <c r="D77" s="9"/>
      <c r="K77" t="str">
        <f t="shared" si="2"/>
        <v/>
      </c>
    </row>
    <row r="78" spans="2:11">
      <c r="B78" t="str">
        <f>IFERROR(INDEX(Setup!$I$3:$I$17,MATCH($A78,Setup!$H$3:$H$17,0)),"")</f>
        <v/>
      </c>
      <c r="C78" s="9"/>
      <c r="D78" s="9"/>
      <c r="K78" t="str">
        <f t="shared" si="2"/>
        <v/>
      </c>
    </row>
    <row r="79" spans="2:11">
      <c r="B79" t="str">
        <f>IFERROR(INDEX(Setup!$I$3:$I$17,MATCH($A79,Setup!$H$3:$H$17,0)),"")</f>
        <v/>
      </c>
      <c r="C79" s="9"/>
      <c r="D79" s="9"/>
      <c r="K79" t="str">
        <f t="shared" si="2"/>
        <v/>
      </c>
    </row>
    <row r="80" spans="2:11">
      <c r="B80" t="str">
        <f>IFERROR(INDEX(Setup!$I$3:$I$17,MATCH($A80,Setup!$H$3:$H$17,0)),"")</f>
        <v/>
      </c>
      <c r="C80" s="9"/>
      <c r="D80" s="9"/>
      <c r="K80" t="str">
        <f t="shared" si="2"/>
        <v/>
      </c>
    </row>
    <row r="81" spans="2:11">
      <c r="B81" t="str">
        <f>IFERROR(INDEX(Setup!$I$3:$I$17,MATCH($A81,Setup!$H$3:$H$17,0)),"")</f>
        <v/>
      </c>
      <c r="C81" s="9"/>
      <c r="D81" s="9"/>
      <c r="K81" t="str">
        <f t="shared" si="2"/>
        <v/>
      </c>
    </row>
    <row r="82" spans="2:11">
      <c r="B82" t="str">
        <f>IFERROR(INDEX(Setup!$I$3:$I$17,MATCH($A82,Setup!$H$3:$H$17,0)),"")</f>
        <v/>
      </c>
      <c r="C82" s="9"/>
      <c r="D82" s="9"/>
      <c r="K82" t="str">
        <f t="shared" si="2"/>
        <v/>
      </c>
    </row>
    <row r="83" spans="2:11">
      <c r="B83" t="str">
        <f>IFERROR(INDEX(Setup!$I$3:$I$17,MATCH($A83,Setup!$H$3:$H$17,0)),"")</f>
        <v/>
      </c>
      <c r="C83" s="9"/>
      <c r="D83" s="9"/>
      <c r="K83" t="str">
        <f t="shared" si="2"/>
        <v/>
      </c>
    </row>
    <row r="84" spans="2:11">
      <c r="B84" t="str">
        <f>IFERROR(INDEX(Setup!$I$3:$I$17,MATCH($A84,Setup!$H$3:$H$17,0)),"")</f>
        <v/>
      </c>
      <c r="C84" s="9"/>
      <c r="D84" s="9"/>
      <c r="K84" t="str">
        <f t="shared" si="2"/>
        <v/>
      </c>
    </row>
    <row r="85" spans="2:11">
      <c r="B85" t="str">
        <f>IFERROR(INDEX(Setup!$I$3:$I$17,MATCH($A85,Setup!$H$3:$H$17,0)),"")</f>
        <v/>
      </c>
      <c r="C85" s="9"/>
      <c r="D85" s="9"/>
      <c r="K85" t="str">
        <f t="shared" si="2"/>
        <v/>
      </c>
    </row>
    <row r="86" spans="2:11">
      <c r="B86" t="str">
        <f>IFERROR(INDEX(Setup!$I$3:$I$17,MATCH($A86,Setup!$H$3:$H$17,0)),"")</f>
        <v/>
      </c>
      <c r="C86" s="9"/>
      <c r="D86" s="9"/>
      <c r="K86" t="str">
        <f t="shared" si="2"/>
        <v/>
      </c>
    </row>
    <row r="87" spans="2:11">
      <c r="B87" t="str">
        <f>IFERROR(INDEX(Setup!$I$3:$I$17,MATCH($A87,Setup!$H$3:$H$17,0)),"")</f>
        <v/>
      </c>
      <c r="C87" s="9"/>
      <c r="D87" s="9"/>
      <c r="K87" t="str">
        <f t="shared" si="2"/>
        <v/>
      </c>
    </row>
    <row r="88" spans="2:11">
      <c r="B88" t="str">
        <f>IFERROR(INDEX(Setup!$I$3:$I$17,MATCH($A88,Setup!$H$3:$H$17,0)),"")</f>
        <v/>
      </c>
      <c r="C88" s="9"/>
      <c r="D88" s="9"/>
      <c r="K88" t="str">
        <f t="shared" si="2"/>
        <v/>
      </c>
    </row>
    <row r="89" spans="2:11">
      <c r="B89" t="str">
        <f>IFERROR(INDEX(Setup!$I$3:$I$17,MATCH($A89,Setup!$H$3:$H$17,0)),"")</f>
        <v/>
      </c>
      <c r="C89" s="9"/>
      <c r="D89" s="9"/>
      <c r="K89" t="str">
        <f t="shared" si="2"/>
        <v/>
      </c>
    </row>
  </sheetData>
  <autoFilter ref="A2:Z89" xr:uid="{00000000-0001-0000-0300-000000000000}">
    <sortState xmlns:xlrd2="http://schemas.microsoft.com/office/spreadsheetml/2017/richdata2" ref="A3:Z89">
      <sortCondition ref="C2:C89"/>
    </sortState>
  </autoFilter>
  <mergeCells count="1">
    <mergeCell ref="A1:J1"/>
  </mergeCells>
  <conditionalFormatting sqref="F3:F6 F12:F89">
    <cfRule type="expression" dxfId="139" priority="16">
      <formula>F3="High"</formula>
    </cfRule>
    <cfRule type="expression" dxfId="138" priority="17">
      <formula>F3="Medium"</formula>
    </cfRule>
  </conditionalFormatting>
  <conditionalFormatting sqref="H3:H4 I4 H12:H89">
    <cfRule type="expression" dxfId="137" priority="18">
      <formula>H3="Delayed"</formula>
    </cfRule>
  </conditionalFormatting>
  <conditionalFormatting sqref="H5:I5">
    <cfRule type="expression" dxfId="136" priority="15">
      <formula>H5="Delayed"</formula>
    </cfRule>
  </conditionalFormatting>
  <conditionalFormatting sqref="H6:I6">
    <cfRule type="expression" dxfId="135" priority="14">
      <formula>H6="Delayed"</formula>
    </cfRule>
  </conditionalFormatting>
  <conditionalFormatting sqref="F8">
    <cfRule type="expression" dxfId="134" priority="11">
      <formula>F8="High"</formula>
    </cfRule>
    <cfRule type="expression" dxfId="133" priority="12">
      <formula>F8="Medium"</formula>
    </cfRule>
  </conditionalFormatting>
  <conditionalFormatting sqref="H8:I8">
    <cfRule type="expression" dxfId="132" priority="10">
      <formula>H8="Delayed"</formula>
    </cfRule>
  </conditionalFormatting>
  <conditionalFormatting sqref="F7">
    <cfRule type="expression" dxfId="131" priority="8">
      <formula>F7="High"</formula>
    </cfRule>
    <cfRule type="expression" dxfId="130" priority="9">
      <formula>F7="Medium"</formula>
    </cfRule>
  </conditionalFormatting>
  <conditionalFormatting sqref="H7:I7">
    <cfRule type="expression" dxfId="129" priority="7">
      <formula>H7="Delayed"</formula>
    </cfRule>
  </conditionalFormatting>
  <conditionalFormatting sqref="F9:F11">
    <cfRule type="expression" dxfId="128" priority="2">
      <formula>F9="High"</formula>
    </cfRule>
    <cfRule type="expression" dxfId="127" priority="3">
      <formula>F9="Medium"</formula>
    </cfRule>
  </conditionalFormatting>
  <conditionalFormatting sqref="H9:I11">
    <cfRule type="expression" dxfId="126" priority="1">
      <formula>H9="Delayed"</formula>
    </cfRule>
  </conditionalFormatting>
  <dataValidations count="7">
    <dataValidation type="list" sqref="A3:A89" xr:uid="{00000000-0002-0000-0300-000000000000}">
      <formula1>DV_ProjectID</formula1>
    </dataValidation>
    <dataValidation type="list" sqref="H3:H89" xr:uid="{00000000-0002-0000-0300-000001000000}">
      <formula1>DV_Staff</formula1>
    </dataValidation>
    <dataValidation type="list" allowBlank="1" sqref="A3:A187" xr:uid="{00000000-0002-0000-0300-000002000000}">
      <formula1>DV_ProjectID</formula1>
    </dataValidation>
    <dataValidation type="list" allowBlank="1" sqref="E3:E187" xr:uid="{00000000-0002-0000-0300-000003000000}">
      <formula1>DV_ActivityType</formula1>
    </dataValidation>
    <dataValidation type="list" allowBlank="1" sqref="G3:G187" xr:uid="{00000000-0002-0000-0300-000004000000}">
      <formula1>DV_Priority</formula1>
    </dataValidation>
    <dataValidation type="list" allowBlank="1" sqref="H3:H187" xr:uid="{00000000-0002-0000-0300-000005000000}">
      <formula1>DV_Staff</formula1>
    </dataValidation>
    <dataValidation type="list" allowBlank="1" sqref="I3:I187" xr:uid="{00000000-0002-0000-0300-000005000000}">
      <formula1>DV_TaskStatus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62"/>
  <sheetViews>
    <sheetView workbookViewId="0">
      <pane ySplit="2" topLeftCell="A3" activePane="bottomLeft" state="frozen"/>
      <selection pane="bottomLeft" activeCell="F6" sqref="F6"/>
    </sheetView>
  </sheetViews>
  <sheetFormatPr defaultRowHeight="14"/>
  <cols>
    <col min="1" max="1" width="18" style="18" customWidth="1"/>
    <col min="2" max="3" width="9" style="18" customWidth="1"/>
    <col min="4" max="4" width="11" style="18" customWidth="1"/>
    <col min="5" max="5" width="29" style="18" customWidth="1"/>
    <col min="6" max="6" width="24" style="18" customWidth="1"/>
    <col min="7" max="10" width="16" style="18" customWidth="1"/>
    <col min="11" max="11" width="18" style="18" customWidth="1"/>
    <col min="12" max="12" width="24" style="18" customWidth="1"/>
    <col min="13" max="13" width="48" style="18" customWidth="1"/>
    <col min="14" max="14" width="32" style="18" customWidth="1"/>
    <col min="15" max="15" width="12" style="18" bestFit="1" customWidth="1"/>
    <col min="16" max="30" width="3" style="18" customWidth="1"/>
  </cols>
  <sheetData>
    <row r="1" spans="1:30" ht="19" customHeight="1">
      <c r="A1" s="71" t="s">
        <v>181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t="str">
        <f>Setup!H3</f>
        <v>P01</v>
      </c>
      <c r="Q1" t="str">
        <f>Setup!H4</f>
        <v>P02</v>
      </c>
      <c r="R1">
        <f>Setup!H5</f>
        <v>0</v>
      </c>
      <c r="S1">
        <f>Setup!H6</f>
        <v>0</v>
      </c>
      <c r="T1">
        <f>Setup!H7</f>
        <v>0</v>
      </c>
      <c r="U1">
        <f>Setup!H8</f>
        <v>0</v>
      </c>
      <c r="V1">
        <f>Setup!H9</f>
        <v>0</v>
      </c>
      <c r="W1">
        <f>Setup!H10</f>
        <v>0</v>
      </c>
      <c r="X1">
        <f>Setup!H11</f>
        <v>0</v>
      </c>
      <c r="Y1">
        <f>Setup!H12</f>
        <v>0</v>
      </c>
      <c r="Z1">
        <f>Setup!H13</f>
        <v>0</v>
      </c>
      <c r="AA1">
        <f>Setup!H14</f>
        <v>0</v>
      </c>
      <c r="AB1">
        <f>Setup!H15</f>
        <v>0</v>
      </c>
      <c r="AC1">
        <f>Setup!H16</f>
        <v>0</v>
      </c>
      <c r="AD1">
        <f>Setup!H17</f>
        <v>0</v>
      </c>
    </row>
    <row r="2" spans="1:30">
      <c r="A2" s="1" t="s">
        <v>182</v>
      </c>
      <c r="B2" s="1" t="s">
        <v>183</v>
      </c>
      <c r="C2" s="1" t="s">
        <v>184</v>
      </c>
      <c r="D2" s="1" t="s">
        <v>24</v>
      </c>
      <c r="E2" s="1" t="s">
        <v>25</v>
      </c>
      <c r="F2" s="1" t="s">
        <v>40</v>
      </c>
      <c r="G2" s="1" t="s">
        <v>185</v>
      </c>
      <c r="H2" s="1" t="s">
        <v>186</v>
      </c>
      <c r="I2" s="1" t="s">
        <v>187</v>
      </c>
      <c r="J2" s="1" t="s">
        <v>188</v>
      </c>
      <c r="K2" s="1" t="s">
        <v>41</v>
      </c>
      <c r="L2" s="1" t="s">
        <v>189</v>
      </c>
      <c r="M2" s="1" t="s">
        <v>190</v>
      </c>
      <c r="N2" s="1" t="s">
        <v>191</v>
      </c>
      <c r="O2" s="1" t="s">
        <v>178</v>
      </c>
      <c r="P2" t="str">
        <f ca="1">IFERROR(INDEX('Staff Allocation'!$C$3:$C$62,_xludf.AGGREGATE(15,6,(ROW('Staff Allocation'!$C$3:$C$62)-ROW('Staff Allocation'!$C$3)+1)/(('Staff Allocation'!$A$3:$A$62=P$1)*('Staff Allocation'!$C$3:$C$62&lt;&gt;"")),ROWS(P$2:P2))),"")</f>
        <v/>
      </c>
      <c r="Q2" t="str">
        <f ca="1">IFERROR(INDEX('Staff Allocation'!$C$3:$C$62,_xludf.AGGREGATE(15,6,(ROW('Staff Allocation'!$C$3:$C$62)-ROW('Staff Allocation'!$C$3)+1)/(('Staff Allocation'!$A$3:$A$62=Q$1)*('Staff Allocation'!$C$3:$C$62&lt;&gt;"")),ROWS(Q$2:Q2))),"")</f>
        <v/>
      </c>
      <c r="R2" t="str">
        <f ca="1">IFERROR(INDEX('Staff Allocation'!$C$3:$C$62,_xludf.AGGREGATE(15,6,(ROW('Staff Allocation'!$C$3:$C$62)-ROW('Staff Allocation'!$C$3)+1)/(('Staff Allocation'!$A$3:$A$62=R$1)*('Staff Allocation'!$C$3:$C$62&lt;&gt;"")),ROWS(R$2:R2))),"")</f>
        <v/>
      </c>
      <c r="S2" t="str">
        <f ca="1">IFERROR(INDEX('Staff Allocation'!$C$3:$C$62,_xludf.AGGREGATE(15,6,(ROW('Staff Allocation'!$C$3:$C$62)-ROW('Staff Allocation'!$C$3)+1)/(('Staff Allocation'!$A$3:$A$62=S$1)*('Staff Allocation'!$C$3:$C$62&lt;&gt;"")),ROWS(S$2:S2))),"")</f>
        <v/>
      </c>
      <c r="T2" t="str">
        <f ca="1">IFERROR(INDEX('Staff Allocation'!$C$3:$C$62,_xludf.AGGREGATE(15,6,(ROW('Staff Allocation'!$C$3:$C$62)-ROW('Staff Allocation'!$C$3)+1)/(('Staff Allocation'!$A$3:$A$62=T$1)*('Staff Allocation'!$C$3:$C$62&lt;&gt;"")),ROWS(T$2:T2))),"")</f>
        <v/>
      </c>
      <c r="U2" t="str">
        <f ca="1">IFERROR(INDEX('Staff Allocation'!$C$3:$C$62,_xludf.AGGREGATE(15,6,(ROW('Staff Allocation'!$C$3:$C$62)-ROW('Staff Allocation'!$C$3)+1)/(('Staff Allocation'!$A$3:$A$62=U$1)*('Staff Allocation'!$C$3:$C$62&lt;&gt;"")),ROWS(U$2:U2))),"")</f>
        <v/>
      </c>
      <c r="V2" t="str">
        <f ca="1">IFERROR(INDEX('Staff Allocation'!$C$3:$C$62,_xludf.AGGREGATE(15,6,(ROW('Staff Allocation'!$C$3:$C$62)-ROW('Staff Allocation'!$C$3)+1)/(('Staff Allocation'!$A$3:$A$62=V$1)*('Staff Allocation'!$C$3:$C$62&lt;&gt;"")),ROWS(V$2:V2))),"")</f>
        <v/>
      </c>
      <c r="W2" t="str">
        <f ca="1">IFERROR(INDEX('Staff Allocation'!$C$3:$C$62,_xludf.AGGREGATE(15,6,(ROW('Staff Allocation'!$C$3:$C$62)-ROW('Staff Allocation'!$C$3)+1)/(('Staff Allocation'!$A$3:$A$62=W$1)*('Staff Allocation'!$C$3:$C$62&lt;&gt;"")),ROWS(W$2:W2))),"")</f>
        <v/>
      </c>
      <c r="X2" t="str">
        <f ca="1">IFERROR(INDEX('Staff Allocation'!$C$3:$C$62,_xludf.AGGREGATE(15,6,(ROW('Staff Allocation'!$C$3:$C$62)-ROW('Staff Allocation'!$C$3)+1)/(('Staff Allocation'!$A$3:$A$62=X$1)*('Staff Allocation'!$C$3:$C$62&lt;&gt;"")),ROWS(X$2:X2))),"")</f>
        <v/>
      </c>
      <c r="Y2" t="str">
        <f ca="1">IFERROR(INDEX('Staff Allocation'!$C$3:$C$62,_xludf.AGGREGATE(15,6,(ROW('Staff Allocation'!$C$3:$C$62)-ROW('Staff Allocation'!$C$3)+1)/(('Staff Allocation'!$A$3:$A$62=Y$1)*('Staff Allocation'!$C$3:$C$62&lt;&gt;"")),ROWS(Y$2:Y2))),"")</f>
        <v/>
      </c>
      <c r="Z2" t="str">
        <f ca="1">IFERROR(INDEX('Staff Allocation'!$C$3:$C$62,_xludf.AGGREGATE(15,6,(ROW('Staff Allocation'!$C$3:$C$62)-ROW('Staff Allocation'!$C$3)+1)/(('Staff Allocation'!$A$3:$A$62=Z$1)*('Staff Allocation'!$C$3:$C$62&lt;&gt;"")),ROWS(Z$2:Z2))),"")</f>
        <v/>
      </c>
      <c r="AA2" t="str">
        <f ca="1">IFERROR(INDEX('Staff Allocation'!$C$3:$C$62,_xludf.AGGREGATE(15,6,(ROW('Staff Allocation'!$C$3:$C$62)-ROW('Staff Allocation'!$C$3)+1)/(('Staff Allocation'!$A$3:$A$62=AA$1)*('Staff Allocation'!$C$3:$C$62&lt;&gt;"")),ROWS(AA$2:AA2))),"")</f>
        <v/>
      </c>
      <c r="AB2" t="str">
        <f ca="1">IFERROR(INDEX('Staff Allocation'!$C$3:$C$62,_xludf.AGGREGATE(15,6,(ROW('Staff Allocation'!$C$3:$C$62)-ROW('Staff Allocation'!$C$3)+1)/(('Staff Allocation'!$A$3:$A$62=AB$1)*('Staff Allocation'!$C$3:$C$62&lt;&gt;"")),ROWS(AB$2:AB2))),"")</f>
        <v/>
      </c>
      <c r="AC2" t="str">
        <f ca="1">IFERROR(INDEX('Staff Allocation'!$C$3:$C$62,_xludf.AGGREGATE(15,6,(ROW('Staff Allocation'!$C$3:$C$62)-ROW('Staff Allocation'!$C$3)+1)/(('Staff Allocation'!$A$3:$A$62=AC$1)*('Staff Allocation'!$C$3:$C$62&lt;&gt;"")),ROWS(AC$2:AC2))),"")</f>
        <v/>
      </c>
      <c r="AD2" t="str">
        <f ca="1">IFERROR(INDEX('Staff Allocation'!$C$3:$C$62,_xludf.AGGREGATE(15,6,(ROW('Staff Allocation'!$C$3:$C$62)-ROW('Staff Allocation'!$C$3)+1)/(('Staff Allocation'!$A$3:$A$62=AD$1)*('Staff Allocation'!$C$3:$C$62&lt;&gt;"")),ROWS(AD$2:AD2))),"")</f>
        <v/>
      </c>
    </row>
    <row r="3" spans="1:30">
      <c r="A3" s="9">
        <v>46268</v>
      </c>
      <c r="B3" s="12">
        <v>0.58333333333333337</v>
      </c>
      <c r="C3" s="12">
        <v>0.66666666666666663</v>
      </c>
      <c r="D3" t="s">
        <v>69</v>
      </c>
      <c r="E3" t="str">
        <f>IFERROR(INDEX(Setup!$I$3:$I$17,MATCH($D3,Setup!$H$3:$H$17,0)),"")</f>
        <v>Interior RS Mitra Medika</v>
      </c>
      <c r="F3" t="s">
        <v>76</v>
      </c>
      <c r="G3" t="s">
        <v>47</v>
      </c>
      <c r="H3" t="s">
        <v>110</v>
      </c>
      <c r="I3" t="s">
        <v>118</v>
      </c>
      <c r="J3" s="18" t="s">
        <v>67</v>
      </c>
      <c r="K3" t="s">
        <v>91</v>
      </c>
      <c r="L3" t="str">
        <f>IF(OR(AND(G3&lt;&gt;"",SUMPRODUCT(($A$3:$A$62=$A3)*($B$3:$B$62&lt;$C3)*($C$3:$C$62&gt;$B3)*(ROW($A$3:$A$62)&lt;&gt;ROW())*((($G$3:$G$62=G3)+($H$3:$H$62=G3)+($I$3:$I$62=G3)+($J$3:$J$62=G3))&gt;0))&gt;0),AND(H3&lt;&gt;"",SUMPRODUCT(($A$3:$A$62=$A3)*($B$3:$B$62&lt;$C3)*($C$3:$C$62&gt;$B3)*(ROW($A$3:$A$62)&lt;&gt;ROW())*((($G$3:$G$62=H3)+($H$3:$H$62=H3)+($I$3:$I$62=H3)+($J$3:$J$62=H3))&gt;0))&gt;0),AND(I3&lt;&gt;"",SUMPRODUCT(($A$3:$A$62=$A3)*($B$3:$B$62&lt;$C3)*($C$3:$C$62&gt;$B3)*(ROW($A$3:$A$62)&lt;&gt;ROW())*((($G$3:$G$62=I3)+($H$3:$H$62=I3)+($I$3:$I$62=I3)+($J$3:$J$62=I3))&gt;0))&gt;0),AND(J3&lt;&gt;"",SUMPRODUCT(($A$3:$A$62=$A3)*($B$3:$B$62&lt;$C3)*($C$3:$C$62&gt;$B3)*(ROW($A$3:$A$62)&lt;&gt;ROW())*((($G$3:$G$62=J3)+($H$3:$H$62=J3)+($I$3:$I$62=J3)+($J$3:$J$62=J3))&gt;0))&gt;0)),"RED - MEETING CLASH",IF(OR(AND(G3&lt;&gt;"",COUNTIFS('Work Activity'!$C$3:$C$89,$A3,'Work Activity'!$G$3:$G$89,G3,'Work Activity'!$A$3:$A$89,"&lt;&gt;"&amp;$D3)&gt;0),AND(H3&lt;&gt;"",COUNTIFS('Work Activity'!$C$3:$C$89,$A3,'Work Activity'!$G$3:$G$89,H3,'Work Activity'!$A$3:$A$89,"&lt;&gt;"&amp;$D3)&gt;0),AND(I3&lt;&gt;"",COUNTIFS('Work Activity'!$C$3:$C$89,$A3,'Work Activity'!$G$3:$G$89,I3,'Work Activity'!$A$3:$A$89,"&lt;&gt;"&amp;$D3)&gt;0),AND(J3&lt;&gt;"",COUNTIFS('Work Activity'!$C$3:$C$89,$A3,'Work Activity'!$G$3:$G$89,J3,'Work Activity'!$A$3:$A$89,"&lt;&gt;"&amp;$D3)&gt;0)),"YELLOW - DEADLINE CHECK","CLEAR"))</f>
        <v>CLEAR</v>
      </c>
      <c r="M3" t="str">
        <f>TRIM(IF(AND(G3&lt;&gt;"",SUMPRODUCT(($A$3:$A$62=$A3)*($B$3:$B$62&lt;$C3)*($C$3:$C$62&gt;$B3)*(ROW($A$3:$A$62)&lt;&gt;ROW())*((($G$3:$G$62=G3)+($H$3:$H$62=G3)+($I$3:$I$62=G3)+($J$3:$J$62=G3))&gt;0))&gt;0),"RED: "&amp;G3&amp;" bentrok meeting. ","")&amp;IF(AND(G3&lt;&gt;"",NOT(SUMPRODUCT(($A$3:$A$62=$A3)*($B$3:$B$62&lt;$C3)*($C$3:$C$62&gt;$B3)*(ROW($A$3:$A$62)&lt;&gt;ROW())*((($G$3:$G$62=G3)+($H$3:$H$62=G3)+($I$3:$I$62=G3)+($J$3:$J$62=G3))&gt;0))&gt;0),COUNTIFS('Work Activity'!$C$3:$C$89,$A3,'Work Activity'!$G$3:$G$89,G3,'Work Activity'!$A$3:$A$89,"&lt;&gt;"&amp;$D3)&gt;0),"YELLOW: "&amp;G3&amp;" punya deadline project lain pada tanggal yang sama. ","")&amp;IF(AND(H3&lt;&gt;"",SUMPRODUCT(($A$3:$A$62=$A3)*($B$3:$B$62&lt;$C3)*($C$3:$C$62&gt;$B3)*(ROW($A$3:$A$62)&lt;&gt;ROW())*((($G$3:$G$62=H3)+($H$3:$H$62=H3)+($I$3:$I$62=H3)+($J$3:$J$62=H3))&gt;0))&gt;0),"RED: "&amp;H3&amp;" bentrok meeting. ","")&amp;IF(AND(H3&lt;&gt;"",NOT(SUMPRODUCT(($A$3:$A$62=$A3)*($B$3:$B$62&lt;$C3)*($C$3:$C$62&gt;$B3)*(ROW($A$3:$A$62)&lt;&gt;ROW())*((($G$3:$G$62=H3)+($H$3:$H$62=H3)+($I$3:$I$62=H3)+($J$3:$J$62=H3))&gt;0))&gt;0),COUNTIFS('Work Activity'!$C$3:$C$89,$A3,'Work Activity'!$G$3:$G$89,H3,'Work Activity'!$A$3:$A$89,"&lt;&gt;"&amp;$D3)&gt;0),"YELLOW: "&amp;H3&amp;" punya deadline project lain pada tanggal yang sama. ","")&amp;IF(AND(I3&lt;&gt;"",SUMPRODUCT(($A$3:$A$62=$A3)*($B$3:$B$62&lt;$C3)*($C$3:$C$62&gt;$B3)*(ROW($A$3:$A$62)&lt;&gt;ROW())*((($G$3:$G$62=I3)+($H$3:$H$62=I3)+($I$3:$I$62=I3)+($J$3:$J$62=I3))&gt;0))&gt;0),"RED: "&amp;I3&amp;" bentrok meeting. ","")&amp;IF(AND(I3&lt;&gt;"",NOT(SUMPRODUCT(($A$3:$A$62=$A3)*($B$3:$B$62&lt;$C3)*($C$3:$C$62&gt;$B3)*(ROW($A$3:$A$62)&lt;&gt;ROW())*((($G$3:$G$62=I3)+($H$3:$H$62=I3)+($I$3:$I$62=I3)+($J$3:$J$62=I3))&gt;0))&gt;0),COUNTIFS('Work Activity'!$C$3:$C$89,$A3,'Work Activity'!$G$3:$G$89,I3,'Work Activity'!$A$3:$A$89,"&lt;&gt;"&amp;$D3)&gt;0),"YELLOW: "&amp;I3&amp;" punya deadline project lain pada tanggal yang sama. ","")&amp;IF(AND(J3&lt;&gt;"",SUMPRODUCT(($A$3:$A$62=$A3)*($B$3:$B$62&lt;$C3)*($C$3:$C$62&gt;$B3)*(ROW($A$3:$A$62)&lt;&gt;ROW())*((($G$3:$G$62=J3)+($H$3:$H$62=J3)+($I$3:$I$62=J3)+($J$3:$J$62=J3))&gt;0))&gt;0),"RED: "&amp;J3&amp;" bentrok meeting. ","")&amp;IF(AND(J3&lt;&gt;"",NOT(SUMPRODUCT(($A$3:$A$62=$A3)*($B$3:$B$62&lt;$C3)*($C$3:$C$62&gt;$B3)*(ROW($A$3:$A$62)&lt;&gt;ROW())*((($G$3:$G$62=J3)+($H$3:$H$62=J3)+($I$3:$I$62=J3)+($J$3:$J$62=J3))&gt;0))&gt;0),COUNTIFS('Work Activity'!$C$3:$C$89,$A3,'Work Activity'!$G$3:$G$89,J3,'Work Activity'!$A$3:$A$89,"&lt;&gt;"&amp;$D3)&gt;0),"YELLOW: "&amp;J3&amp;" punya deadline project lain pada tanggal yang sama. ",""))</f>
        <v/>
      </c>
      <c r="N3" t="s">
        <v>262</v>
      </c>
      <c r="O3" t="str">
        <f t="shared" ref="O3:O34" si="0">IF(OR($D3="",$A3=""),"",$D3&amp;TEXT($A3,"yyyymmdd"))</f>
        <v>P0220260903</v>
      </c>
      <c r="P3" t="str">
        <f ca="1">IFERROR(INDEX('Staff Allocation'!$C$3:$C$62,_xludf.AGGREGATE(15,6,(ROW('Staff Allocation'!$C$3:$C$62)-ROW('Staff Allocation'!$C$3)+1)/(('Staff Allocation'!$A$3:$A$62=P$1)*('Staff Allocation'!$C$3:$C$62&lt;&gt;"")),ROWS(P$2:P3))),"")</f>
        <v/>
      </c>
      <c r="Q3" t="str">
        <f ca="1">IFERROR(INDEX('Staff Allocation'!$C$3:$C$62,_xludf.AGGREGATE(15,6,(ROW('Staff Allocation'!$C$3:$C$62)-ROW('Staff Allocation'!$C$3)+1)/(('Staff Allocation'!$A$3:$A$62=Q$1)*('Staff Allocation'!$C$3:$C$62&lt;&gt;"")),ROWS(Q$2:Q3))),"")</f>
        <v/>
      </c>
      <c r="R3" t="str">
        <f ca="1">IFERROR(INDEX('Staff Allocation'!$C$3:$C$62,_xludf.AGGREGATE(15,6,(ROW('Staff Allocation'!$C$3:$C$62)-ROW('Staff Allocation'!$C$3)+1)/(('Staff Allocation'!$A$3:$A$62=R$1)*('Staff Allocation'!$C$3:$C$62&lt;&gt;"")),ROWS(R$2:R3))),"")</f>
        <v/>
      </c>
      <c r="S3" t="str">
        <f ca="1">IFERROR(INDEX('Staff Allocation'!$C$3:$C$62,_xludf.AGGREGATE(15,6,(ROW('Staff Allocation'!$C$3:$C$62)-ROW('Staff Allocation'!$C$3)+1)/(('Staff Allocation'!$A$3:$A$62=S$1)*('Staff Allocation'!$C$3:$C$62&lt;&gt;"")),ROWS(S$2:S3))),"")</f>
        <v/>
      </c>
      <c r="T3" t="str">
        <f ca="1">IFERROR(INDEX('Staff Allocation'!$C$3:$C$62,_xludf.AGGREGATE(15,6,(ROW('Staff Allocation'!$C$3:$C$62)-ROW('Staff Allocation'!$C$3)+1)/(('Staff Allocation'!$A$3:$A$62=T$1)*('Staff Allocation'!$C$3:$C$62&lt;&gt;"")),ROWS(T$2:T3))),"")</f>
        <v/>
      </c>
      <c r="U3" t="str">
        <f ca="1">IFERROR(INDEX('Staff Allocation'!$C$3:$C$62,_xludf.AGGREGATE(15,6,(ROW('Staff Allocation'!$C$3:$C$62)-ROW('Staff Allocation'!$C$3)+1)/(('Staff Allocation'!$A$3:$A$62=U$1)*('Staff Allocation'!$C$3:$C$62&lt;&gt;"")),ROWS(U$2:U3))),"")</f>
        <v/>
      </c>
      <c r="V3" t="str">
        <f ca="1">IFERROR(INDEX('Staff Allocation'!$C$3:$C$62,_xludf.AGGREGATE(15,6,(ROW('Staff Allocation'!$C$3:$C$62)-ROW('Staff Allocation'!$C$3)+1)/(('Staff Allocation'!$A$3:$A$62=V$1)*('Staff Allocation'!$C$3:$C$62&lt;&gt;"")),ROWS(V$2:V3))),"")</f>
        <v/>
      </c>
      <c r="W3" t="str">
        <f ca="1">IFERROR(INDEX('Staff Allocation'!$C$3:$C$62,_xludf.AGGREGATE(15,6,(ROW('Staff Allocation'!$C$3:$C$62)-ROW('Staff Allocation'!$C$3)+1)/(('Staff Allocation'!$A$3:$A$62=W$1)*('Staff Allocation'!$C$3:$C$62&lt;&gt;"")),ROWS(W$2:W3))),"")</f>
        <v/>
      </c>
      <c r="X3" t="str">
        <f ca="1">IFERROR(INDEX('Staff Allocation'!$C$3:$C$62,_xludf.AGGREGATE(15,6,(ROW('Staff Allocation'!$C$3:$C$62)-ROW('Staff Allocation'!$C$3)+1)/(('Staff Allocation'!$A$3:$A$62=X$1)*('Staff Allocation'!$C$3:$C$62&lt;&gt;"")),ROWS(X$2:X3))),"")</f>
        <v/>
      </c>
      <c r="Y3" t="str">
        <f ca="1">IFERROR(INDEX('Staff Allocation'!$C$3:$C$62,_xludf.AGGREGATE(15,6,(ROW('Staff Allocation'!$C$3:$C$62)-ROW('Staff Allocation'!$C$3)+1)/(('Staff Allocation'!$A$3:$A$62=Y$1)*('Staff Allocation'!$C$3:$C$62&lt;&gt;"")),ROWS(Y$2:Y3))),"")</f>
        <v/>
      </c>
      <c r="Z3" t="str">
        <f ca="1">IFERROR(INDEX('Staff Allocation'!$C$3:$C$62,_xludf.AGGREGATE(15,6,(ROW('Staff Allocation'!$C$3:$C$62)-ROW('Staff Allocation'!$C$3)+1)/(('Staff Allocation'!$A$3:$A$62=Z$1)*('Staff Allocation'!$C$3:$C$62&lt;&gt;"")),ROWS(Z$2:Z3))),"")</f>
        <v/>
      </c>
      <c r="AA3" t="str">
        <f ca="1">IFERROR(INDEX('Staff Allocation'!$C$3:$C$62,_xludf.AGGREGATE(15,6,(ROW('Staff Allocation'!$C$3:$C$62)-ROW('Staff Allocation'!$C$3)+1)/(('Staff Allocation'!$A$3:$A$62=AA$1)*('Staff Allocation'!$C$3:$C$62&lt;&gt;"")),ROWS(AA$2:AA3))),"")</f>
        <v/>
      </c>
      <c r="AB3" t="str">
        <f ca="1">IFERROR(INDEX('Staff Allocation'!$C$3:$C$62,_xludf.AGGREGATE(15,6,(ROW('Staff Allocation'!$C$3:$C$62)-ROW('Staff Allocation'!$C$3)+1)/(('Staff Allocation'!$A$3:$A$62=AB$1)*('Staff Allocation'!$C$3:$C$62&lt;&gt;"")),ROWS(AB$2:AB3))),"")</f>
        <v/>
      </c>
      <c r="AC3" t="str">
        <f ca="1">IFERROR(INDEX('Staff Allocation'!$C$3:$C$62,_xludf.AGGREGATE(15,6,(ROW('Staff Allocation'!$C$3:$C$62)-ROW('Staff Allocation'!$C$3)+1)/(('Staff Allocation'!$A$3:$A$62=AC$1)*('Staff Allocation'!$C$3:$C$62&lt;&gt;"")),ROWS(AC$2:AC3))),"")</f>
        <v/>
      </c>
      <c r="AD3" t="str">
        <f ca="1">IFERROR(INDEX('Staff Allocation'!$C$3:$C$62,_xludf.AGGREGATE(15,6,(ROW('Staff Allocation'!$C$3:$C$62)-ROW('Staff Allocation'!$C$3)+1)/(('Staff Allocation'!$A$3:$A$62=AD$1)*('Staff Allocation'!$C$3:$C$62&lt;&gt;"")),ROWS(AD$2:AD3))),"")</f>
        <v/>
      </c>
    </row>
    <row r="4" spans="1:30">
      <c r="A4" s="9">
        <v>46268</v>
      </c>
      <c r="B4" s="12">
        <v>0.41666666666666669</v>
      </c>
      <c r="C4" s="12">
        <v>0.5</v>
      </c>
      <c r="D4" t="s">
        <v>50</v>
      </c>
      <c r="E4" t="str">
        <f>IFERROR(INDEX(Setup!$I$3:$I$17,MATCH($D4,Setup!$H$3:$H$17,0)),"")</f>
        <v>Rumah Pak Nata</v>
      </c>
      <c r="F4" t="s">
        <v>76</v>
      </c>
      <c r="G4" t="s">
        <v>98</v>
      </c>
      <c r="H4" t="s">
        <v>118</v>
      </c>
      <c r="I4"/>
      <c r="K4" t="s">
        <v>77</v>
      </c>
      <c r="L4" t="str">
        <f>IF(OR(AND(G4&lt;&gt;"",SUMPRODUCT(($A$3:$A$62=$A4)*($B$3:$B$62&lt;$C4)*($C$3:$C$62&gt;$B4)*(ROW($A$3:$A$62)&lt;&gt;ROW())*((($G$3:$G$62=G4)+($H$3:$H$62=G4)+($I$3:$I$62=G4)+($J$3:$J$62=G4))&gt;0))&gt;0),AND(H4&lt;&gt;"",SUMPRODUCT(($A$3:$A$62=$A4)*($B$3:$B$62&lt;$C4)*($C$3:$C$62&gt;$B4)*(ROW($A$3:$A$62)&lt;&gt;ROW())*((($G$3:$G$62=H4)+($H$3:$H$62=H4)+($I$3:$I$62=H4)+($J$3:$J$62=H4))&gt;0))&gt;0),AND(I4&lt;&gt;"",SUMPRODUCT(($A$3:$A$62=$A4)*($B$3:$B$62&lt;$C4)*($C$3:$C$62&gt;$B4)*(ROW($A$3:$A$62)&lt;&gt;ROW())*((($G$3:$G$62=I4)+($H$3:$H$62=I4)+($I$3:$I$62=I4)+($J$3:$J$62=I4))&gt;0))&gt;0),AND(J4&lt;&gt;"",SUMPRODUCT(($A$3:$A$62=$A4)*($B$3:$B$62&lt;$C4)*($C$3:$C$62&gt;$B4)*(ROW($A$3:$A$62)&lt;&gt;ROW())*((($G$3:$G$62=J4)+($H$3:$H$62=J4)+($I$3:$I$62=J4)+($J$3:$J$62=J4))&gt;0))&gt;0)),"RED - MEETING CLASH",IF(OR(AND(G4&lt;&gt;"",COUNTIFS('Work Activity'!$C$3:$C$89,$A4,'Work Activity'!$G$3:$G$89,G4,'Work Activity'!$A$3:$A$89,"&lt;&gt;"&amp;$D4)&gt;0),AND(H4&lt;&gt;"",COUNTIFS('Work Activity'!$C$3:$C$89,$A4,'Work Activity'!$G$3:$G$89,H4,'Work Activity'!$A$3:$A$89,"&lt;&gt;"&amp;$D4)&gt;0),AND(I4&lt;&gt;"",COUNTIFS('Work Activity'!$C$3:$C$89,$A4,'Work Activity'!$G$3:$G$89,I4,'Work Activity'!$A$3:$A$89,"&lt;&gt;"&amp;$D4)&gt;0),AND(J4&lt;&gt;"",COUNTIFS('Work Activity'!$C$3:$C$89,$A4,'Work Activity'!$G$3:$G$89,J4,'Work Activity'!$A$3:$A$89,"&lt;&gt;"&amp;$D4)&gt;0)),"YELLOW - DEADLINE CHECK","CLEAR"))</f>
        <v>RED - MEETING CLASH</v>
      </c>
      <c r="M4" t="str">
        <f>TRIM(IF(AND(G4&lt;&gt;"",SUMPRODUCT(($A$3:$A$62=$A4)*($B$3:$B$62&lt;$C4)*($C$3:$C$62&gt;$B4)*(ROW($A$3:$A$62)&lt;&gt;ROW())*((($G$3:$G$62=G4)+($H$3:$H$62=G4)+($I$3:$I$62=G4)+($J$3:$J$62=G4))&gt;0))&gt;0),"RED: "&amp;G4&amp;" bentrok meeting. ","")&amp;IF(AND(G4&lt;&gt;"",NOT(SUMPRODUCT(($A$3:$A$62=$A4)*($B$3:$B$62&lt;$C4)*($C$3:$C$62&gt;$B4)*(ROW($A$3:$A$62)&lt;&gt;ROW())*((($G$3:$G$62=G4)+($H$3:$H$62=G4)+($I$3:$I$62=G4)+($J$3:$J$62=G4))&gt;0))&gt;0),COUNTIFS('Work Activity'!$C$3:$C$89,$A4,'Work Activity'!$G$3:$G$89,G4,'Work Activity'!$A$3:$A$89,"&lt;&gt;"&amp;$D4)&gt;0),"YELLOW: "&amp;G4&amp;" punya deadline project lain pada tanggal yang sama. ","")&amp;IF(AND(H4&lt;&gt;"",SUMPRODUCT(($A$3:$A$62=$A4)*($B$3:$B$62&lt;$C4)*($C$3:$C$62&gt;$B4)*(ROW($A$3:$A$62)&lt;&gt;ROW())*((($G$3:$G$62=H4)+($H$3:$H$62=H4)+($I$3:$I$62=H4)+($J$3:$J$62=H4))&gt;0))&gt;0),"RED: "&amp;H4&amp;" bentrok meeting. ","")&amp;IF(AND(H4&lt;&gt;"",NOT(SUMPRODUCT(($A$3:$A$62=$A4)*($B$3:$B$62&lt;$C4)*($C$3:$C$62&gt;$B4)*(ROW($A$3:$A$62)&lt;&gt;ROW())*((($G$3:$G$62=H4)+($H$3:$H$62=H4)+($I$3:$I$62=H4)+($J$3:$J$62=H4))&gt;0))&gt;0),COUNTIFS('Work Activity'!$C$3:$C$89,$A4,'Work Activity'!$G$3:$G$89,H4,'Work Activity'!$A$3:$A$89,"&lt;&gt;"&amp;$D4)&gt;0),"YELLOW: "&amp;H4&amp;" punya deadline project lain pada tanggal yang sama. ","")&amp;IF(AND(I4&lt;&gt;"",SUMPRODUCT(($A$3:$A$62=$A4)*($B$3:$B$62&lt;$C4)*($C$3:$C$62&gt;$B4)*(ROW($A$3:$A$62)&lt;&gt;ROW())*((($G$3:$G$62=I4)+($H$3:$H$62=I4)+($I$3:$I$62=I4)+($J$3:$J$62=I4))&gt;0))&gt;0),"RED: "&amp;I4&amp;" bentrok meeting. ","")&amp;IF(AND(I4&lt;&gt;"",NOT(SUMPRODUCT(($A$3:$A$62=$A4)*($B$3:$B$62&lt;$C4)*($C$3:$C$62&gt;$B4)*(ROW($A$3:$A$62)&lt;&gt;ROW())*((($G$3:$G$62=I4)+($H$3:$H$62=I4)+($I$3:$I$62=I4)+($J$3:$J$62=I4))&gt;0))&gt;0),COUNTIFS('Work Activity'!$C$3:$C$89,$A4,'Work Activity'!$G$3:$G$89,I4,'Work Activity'!$A$3:$A$89,"&lt;&gt;"&amp;$D4)&gt;0),"YELLOW: "&amp;I4&amp;" punya deadline project lain pada tanggal yang sama. ","")&amp;IF(AND(J4&lt;&gt;"",SUMPRODUCT(($A$3:$A$62=$A4)*($B$3:$B$62&lt;$C4)*($C$3:$C$62&gt;$B4)*(ROW($A$3:$A$62)&lt;&gt;ROW())*((($G$3:$G$62=J4)+($H$3:$H$62=J4)+($I$3:$I$62=J4)+($J$3:$J$62=J4))&gt;0))&gt;0),"RED: "&amp;J4&amp;" bentrok meeting. ","")&amp;IF(AND(J4&lt;&gt;"",NOT(SUMPRODUCT(($A$3:$A$62=$A4)*($B$3:$B$62&lt;$C4)*($C$3:$C$62&gt;$B4)*(ROW($A$3:$A$62)&lt;&gt;ROW())*((($G$3:$G$62=J4)+($H$3:$H$62=J4)+($I$3:$I$62=J4)+($J$3:$J$62=J4))&gt;0))&gt;0),COUNTIFS('Work Activity'!$C$3:$C$89,$A4,'Work Activity'!$G$3:$G$89,J4,'Work Activity'!$A$3:$A$89,"&lt;&gt;"&amp;$D4)&gt;0),"YELLOW: "&amp;J4&amp;" punya deadline project lain pada tanggal yang sama. ",""))</f>
        <v>RED: Alifa bentrok meeting.</v>
      </c>
      <c r="N4" t="s">
        <v>263</v>
      </c>
      <c r="O4" t="str">
        <f t="shared" si="0"/>
        <v>P0120260903</v>
      </c>
      <c r="P4" t="str">
        <f ca="1">IFERROR(INDEX('Staff Allocation'!$C$3:$C$62,_xludf.AGGREGATE(15,6,(ROW('Staff Allocation'!$C$3:$C$62)-ROW('Staff Allocation'!$C$3)+1)/(('Staff Allocation'!$A$3:$A$62=P$1)*('Staff Allocation'!$C$3:$C$62&lt;&gt;"")),ROWS(P$2:P4))),"")</f>
        <v/>
      </c>
      <c r="Q4" t="str">
        <f ca="1">IFERROR(INDEX('Staff Allocation'!$C$3:$C$62,_xludf.AGGREGATE(15,6,(ROW('Staff Allocation'!$C$3:$C$62)-ROW('Staff Allocation'!$C$3)+1)/(('Staff Allocation'!$A$3:$A$62=Q$1)*('Staff Allocation'!$C$3:$C$62&lt;&gt;"")),ROWS(Q$2:Q4))),"")</f>
        <v/>
      </c>
      <c r="R4" t="str">
        <f ca="1">IFERROR(INDEX('Staff Allocation'!$C$3:$C$62,_xludf.AGGREGATE(15,6,(ROW('Staff Allocation'!$C$3:$C$62)-ROW('Staff Allocation'!$C$3)+1)/(('Staff Allocation'!$A$3:$A$62=R$1)*('Staff Allocation'!$C$3:$C$62&lt;&gt;"")),ROWS(R$2:R4))),"")</f>
        <v/>
      </c>
      <c r="S4" t="str">
        <f ca="1">IFERROR(INDEX('Staff Allocation'!$C$3:$C$62,_xludf.AGGREGATE(15,6,(ROW('Staff Allocation'!$C$3:$C$62)-ROW('Staff Allocation'!$C$3)+1)/(('Staff Allocation'!$A$3:$A$62=S$1)*('Staff Allocation'!$C$3:$C$62&lt;&gt;"")),ROWS(S$2:S4))),"")</f>
        <v/>
      </c>
      <c r="T4" t="str">
        <f ca="1">IFERROR(INDEX('Staff Allocation'!$C$3:$C$62,_xludf.AGGREGATE(15,6,(ROW('Staff Allocation'!$C$3:$C$62)-ROW('Staff Allocation'!$C$3)+1)/(('Staff Allocation'!$A$3:$A$62=T$1)*('Staff Allocation'!$C$3:$C$62&lt;&gt;"")),ROWS(T$2:T4))),"")</f>
        <v/>
      </c>
      <c r="U4" t="str">
        <f ca="1">IFERROR(INDEX('Staff Allocation'!$C$3:$C$62,_xludf.AGGREGATE(15,6,(ROW('Staff Allocation'!$C$3:$C$62)-ROW('Staff Allocation'!$C$3)+1)/(('Staff Allocation'!$A$3:$A$62=U$1)*('Staff Allocation'!$C$3:$C$62&lt;&gt;"")),ROWS(U$2:U4))),"")</f>
        <v/>
      </c>
      <c r="V4" t="str">
        <f ca="1">IFERROR(INDEX('Staff Allocation'!$C$3:$C$62,_xludf.AGGREGATE(15,6,(ROW('Staff Allocation'!$C$3:$C$62)-ROW('Staff Allocation'!$C$3)+1)/(('Staff Allocation'!$A$3:$A$62=V$1)*('Staff Allocation'!$C$3:$C$62&lt;&gt;"")),ROWS(V$2:V4))),"")</f>
        <v/>
      </c>
      <c r="W4" t="str">
        <f ca="1">IFERROR(INDEX('Staff Allocation'!$C$3:$C$62,_xludf.AGGREGATE(15,6,(ROW('Staff Allocation'!$C$3:$C$62)-ROW('Staff Allocation'!$C$3)+1)/(('Staff Allocation'!$A$3:$A$62=W$1)*('Staff Allocation'!$C$3:$C$62&lt;&gt;"")),ROWS(W$2:W4))),"")</f>
        <v/>
      </c>
      <c r="X4" t="str">
        <f ca="1">IFERROR(INDEX('Staff Allocation'!$C$3:$C$62,_xludf.AGGREGATE(15,6,(ROW('Staff Allocation'!$C$3:$C$62)-ROW('Staff Allocation'!$C$3)+1)/(('Staff Allocation'!$A$3:$A$62=X$1)*('Staff Allocation'!$C$3:$C$62&lt;&gt;"")),ROWS(X$2:X4))),"")</f>
        <v/>
      </c>
      <c r="Y4" t="str">
        <f ca="1">IFERROR(INDEX('Staff Allocation'!$C$3:$C$62,_xludf.AGGREGATE(15,6,(ROW('Staff Allocation'!$C$3:$C$62)-ROW('Staff Allocation'!$C$3)+1)/(('Staff Allocation'!$A$3:$A$62=Y$1)*('Staff Allocation'!$C$3:$C$62&lt;&gt;"")),ROWS(Y$2:Y4))),"")</f>
        <v/>
      </c>
      <c r="Z4" t="str">
        <f ca="1">IFERROR(INDEX('Staff Allocation'!$C$3:$C$62,_xludf.AGGREGATE(15,6,(ROW('Staff Allocation'!$C$3:$C$62)-ROW('Staff Allocation'!$C$3)+1)/(('Staff Allocation'!$A$3:$A$62=Z$1)*('Staff Allocation'!$C$3:$C$62&lt;&gt;"")),ROWS(Z$2:Z4))),"")</f>
        <v/>
      </c>
      <c r="AA4" t="str">
        <f ca="1">IFERROR(INDEX('Staff Allocation'!$C$3:$C$62,_xludf.AGGREGATE(15,6,(ROW('Staff Allocation'!$C$3:$C$62)-ROW('Staff Allocation'!$C$3)+1)/(('Staff Allocation'!$A$3:$A$62=AA$1)*('Staff Allocation'!$C$3:$C$62&lt;&gt;"")),ROWS(AA$2:AA4))),"")</f>
        <v/>
      </c>
      <c r="AB4" t="str">
        <f ca="1">IFERROR(INDEX('Staff Allocation'!$C$3:$C$62,_xludf.AGGREGATE(15,6,(ROW('Staff Allocation'!$C$3:$C$62)-ROW('Staff Allocation'!$C$3)+1)/(('Staff Allocation'!$A$3:$A$62=AB$1)*('Staff Allocation'!$C$3:$C$62&lt;&gt;"")),ROWS(AB$2:AB4))),"")</f>
        <v/>
      </c>
      <c r="AC4" t="str">
        <f ca="1">IFERROR(INDEX('Staff Allocation'!$C$3:$C$62,_xludf.AGGREGATE(15,6,(ROW('Staff Allocation'!$C$3:$C$62)-ROW('Staff Allocation'!$C$3)+1)/(('Staff Allocation'!$A$3:$A$62=AC$1)*('Staff Allocation'!$C$3:$C$62&lt;&gt;"")),ROWS(AC$2:AC4))),"")</f>
        <v/>
      </c>
      <c r="AD4" t="str">
        <f ca="1">IFERROR(INDEX('Staff Allocation'!$C$3:$C$62,_xludf.AGGREGATE(15,6,(ROW('Staff Allocation'!$C$3:$C$62)-ROW('Staff Allocation'!$C$3)+1)/(('Staff Allocation'!$A$3:$A$62=AD$1)*('Staff Allocation'!$C$3:$C$62&lt;&gt;"")),ROWS(AD$2:AD4))),"")</f>
        <v/>
      </c>
    </row>
    <row r="5" spans="1:30">
      <c r="A5" s="9">
        <v>46269</v>
      </c>
      <c r="B5" s="12">
        <v>0.375</v>
      </c>
      <c r="C5" s="12">
        <v>0.45833333333333331</v>
      </c>
      <c r="D5" t="s">
        <v>69</v>
      </c>
      <c r="E5" s="43" t="str">
        <f>IFERROR(INDEX(Setup!$I$3:$I$17,MATCH($D5,Setup!$H$3:$H$17,0)),"")</f>
        <v>Interior RS Mitra Medika</v>
      </c>
      <c r="F5" t="s">
        <v>59</v>
      </c>
      <c r="G5" t="s">
        <v>47</v>
      </c>
      <c r="H5" t="s">
        <v>67</v>
      </c>
      <c r="I5" t="s">
        <v>110</v>
      </c>
      <c r="K5" t="s">
        <v>60</v>
      </c>
      <c r="L5" t="str">
        <f>IF(OR(AND(G5&lt;&gt;"",SUMPRODUCT(($A$3:$A$62=$A5)*($B$3:$B$62&lt;$C5)*($C$3:$C$62&gt;$B5)*(ROW($A$3:$A$62)&lt;&gt;ROW())*((($G$3:$G$62=G5)+($H$3:$H$62=G5)+($I$3:$I$62=G5)+($J$3:$J$62=G5))&gt;0))&gt;0),AND(H5&lt;&gt;"",SUMPRODUCT(($A$3:$A$62=$A5)*($B$3:$B$62&lt;$C5)*($C$3:$C$62&gt;$B5)*(ROW($A$3:$A$62)&lt;&gt;ROW())*((($G$3:$G$62=H5)+($H$3:$H$62=H5)+($I$3:$I$62=H5)+($J$3:$J$62=H5))&gt;0))&gt;0),AND(I5&lt;&gt;"",SUMPRODUCT(($A$3:$A$62=$A5)*($B$3:$B$62&lt;$C5)*($C$3:$C$62&gt;$B5)*(ROW($A$3:$A$62)&lt;&gt;ROW())*((($G$3:$G$62=I5)+($H$3:$H$62=I5)+($I$3:$I$62=I5)+($J$3:$J$62=I5))&gt;0))&gt;0),AND(J5&lt;&gt;"",SUMPRODUCT(($A$3:$A$62=$A5)*($B$3:$B$62&lt;$C5)*($C$3:$C$62&gt;$B5)*(ROW($A$3:$A$62)&lt;&gt;ROW())*((($G$3:$G$62=J5)+($H$3:$H$62=J5)+($I$3:$I$62=J5)+($J$3:$J$62=J5))&gt;0))&gt;0)),"RED - MEETING CLASH",IF(OR(AND(G5&lt;&gt;"",COUNTIFS('Work Activity'!$C$3:$C$89,$A5,'Work Activity'!$G$3:$G$89,G5,'Work Activity'!$A$3:$A$89,"&lt;&gt;"&amp;$D5)&gt;0),AND(H5&lt;&gt;"",COUNTIFS('Work Activity'!$C$3:$C$89,$A5,'Work Activity'!$G$3:$G$89,H5,'Work Activity'!$A$3:$A$89,"&lt;&gt;"&amp;$D5)&gt;0),AND(I5&lt;&gt;"",COUNTIFS('Work Activity'!$C$3:$C$89,$A5,'Work Activity'!$G$3:$G$89,I5,'Work Activity'!$A$3:$A$89,"&lt;&gt;"&amp;$D5)&gt;0),AND(J5&lt;&gt;"",COUNTIFS('Work Activity'!$C$3:$C$89,$A5,'Work Activity'!$G$3:$G$89,J5,'Work Activity'!$A$3:$A$89,"&lt;&gt;"&amp;$D5)&gt;0)),"YELLOW - DEADLINE CHECK","CLEAR"))</f>
        <v>CLEAR</v>
      </c>
      <c r="M5" t="str">
        <f>TRIM(IF(AND(G5&lt;&gt;"",SUMPRODUCT(($A$3:$A$62=$A5)*($B$3:$B$62&lt;$C5)*($C$3:$C$62&gt;$B5)*(ROW($A$3:$A$62)&lt;&gt;ROW())*((($G$3:$G$62=G5)+($H$3:$H$62=G5)+($I$3:$I$62=G5)+($J$3:$J$62=G5))&gt;0))&gt;0),"RED: "&amp;G5&amp;" bentrok meeting. ","")&amp;IF(AND(G5&lt;&gt;"",NOT(SUMPRODUCT(($A$3:$A$62=$A5)*($B$3:$B$62&lt;$C5)*($C$3:$C$62&gt;$B5)*(ROW($A$3:$A$62)&lt;&gt;ROW())*((($G$3:$G$62=G5)+($H$3:$H$62=G5)+($I$3:$I$62=G5)+($J$3:$J$62=G5))&gt;0))&gt;0),COUNTIFS('Work Activity'!$C$3:$C$89,$A5,'Work Activity'!$G$3:$G$89,G5,'Work Activity'!$A$3:$A$89,"&lt;&gt;"&amp;$D5)&gt;0),"YELLOW: "&amp;G5&amp;" punya deadline project lain pada tanggal yang sama. ","")&amp;IF(AND(H5&lt;&gt;"",SUMPRODUCT(($A$3:$A$62=$A5)*($B$3:$B$62&lt;$C5)*($C$3:$C$62&gt;$B5)*(ROW($A$3:$A$62)&lt;&gt;ROW())*((($G$3:$G$62=H5)+($H$3:$H$62=H5)+($I$3:$I$62=H5)+($J$3:$J$62=H5))&gt;0))&gt;0),"RED: "&amp;H5&amp;" bentrok meeting. ","")&amp;IF(AND(H5&lt;&gt;"",NOT(SUMPRODUCT(($A$3:$A$62=$A5)*($B$3:$B$62&lt;$C5)*($C$3:$C$62&gt;$B5)*(ROW($A$3:$A$62)&lt;&gt;ROW())*((($G$3:$G$62=H5)+($H$3:$H$62=H5)+($I$3:$I$62=H5)+($J$3:$J$62=H5))&gt;0))&gt;0),COUNTIFS('Work Activity'!$C$3:$C$89,$A5,'Work Activity'!$G$3:$G$89,H5,'Work Activity'!$A$3:$A$89,"&lt;&gt;"&amp;$D5)&gt;0),"YELLOW: "&amp;H5&amp;" punya deadline project lain pada tanggal yang sama. ","")&amp;IF(AND(I5&lt;&gt;"",SUMPRODUCT(($A$3:$A$62=$A5)*($B$3:$B$62&lt;$C5)*($C$3:$C$62&gt;$B5)*(ROW($A$3:$A$62)&lt;&gt;ROW())*((($G$3:$G$62=I5)+($H$3:$H$62=I5)+($I$3:$I$62=I5)+($J$3:$J$62=I5))&gt;0))&gt;0),"RED: "&amp;I5&amp;" bentrok meeting. ","")&amp;IF(AND(I5&lt;&gt;"",NOT(SUMPRODUCT(($A$3:$A$62=$A5)*($B$3:$B$62&lt;$C5)*($C$3:$C$62&gt;$B5)*(ROW($A$3:$A$62)&lt;&gt;ROW())*((($G$3:$G$62=I5)+($H$3:$H$62=I5)+($I$3:$I$62=I5)+($J$3:$J$62=I5))&gt;0))&gt;0),COUNTIFS('Work Activity'!$C$3:$C$89,$A5,'Work Activity'!$G$3:$G$89,I5,'Work Activity'!$A$3:$A$89,"&lt;&gt;"&amp;$D5)&gt;0),"YELLOW: "&amp;I5&amp;" punya deadline project lain pada tanggal yang sama. ","")&amp;IF(AND(J5&lt;&gt;"",SUMPRODUCT(($A$3:$A$62=$A5)*($B$3:$B$62&lt;$C5)*($C$3:$C$62&gt;$B5)*(ROW($A$3:$A$62)&lt;&gt;ROW())*((($G$3:$G$62=J5)+($H$3:$H$62=J5)+($I$3:$I$62=J5)+($J$3:$J$62=J5))&gt;0))&gt;0),"RED: "&amp;J5&amp;" bentrok meeting. ","")&amp;IF(AND(J5&lt;&gt;"",NOT(SUMPRODUCT(($A$3:$A$62=$A5)*($B$3:$B$62&lt;$C5)*($C$3:$C$62&gt;$B5)*(ROW($A$3:$A$62)&lt;&gt;ROW())*((($G$3:$G$62=J5)+($H$3:$H$62=J5)+($I$3:$I$62=J5)+($J$3:$J$62=J5))&gt;0))&gt;0),COUNTIFS('Work Activity'!$C$3:$C$89,$A5,'Work Activity'!$G$3:$G$89,J5,'Work Activity'!$A$3:$A$89,"&lt;&gt;"&amp;$D5)&gt;0),"YELLOW: "&amp;J5&amp;" punya deadline project lain pada tanggal yang sama. ",""))</f>
        <v/>
      </c>
      <c r="N5"/>
      <c r="O5" t="str">
        <f t="shared" si="0"/>
        <v>P0220260904</v>
      </c>
      <c r="P5" t="str">
        <f ca="1">IFERROR(INDEX('Staff Allocation'!$C$3:$C$62,_xludf.AGGREGATE(15,6,(ROW('Staff Allocation'!$C$3:$C$62)-ROW('Staff Allocation'!$C$3)+1)/(('Staff Allocation'!$A$3:$A$62=P$1)*('Staff Allocation'!$C$3:$C$62&lt;&gt;"")),ROWS(P$2:P5))),"")</f>
        <v/>
      </c>
      <c r="Q5" t="str">
        <f ca="1">IFERROR(INDEX('Staff Allocation'!$C$3:$C$62,_xludf.AGGREGATE(15,6,(ROW('Staff Allocation'!$C$3:$C$62)-ROW('Staff Allocation'!$C$3)+1)/(('Staff Allocation'!$A$3:$A$62=Q$1)*('Staff Allocation'!$C$3:$C$62&lt;&gt;"")),ROWS(Q$2:Q5))),"")</f>
        <v/>
      </c>
      <c r="R5" t="str">
        <f ca="1">IFERROR(INDEX('Staff Allocation'!$C$3:$C$62,_xludf.AGGREGATE(15,6,(ROW('Staff Allocation'!$C$3:$C$62)-ROW('Staff Allocation'!$C$3)+1)/(('Staff Allocation'!$A$3:$A$62=R$1)*('Staff Allocation'!$C$3:$C$62&lt;&gt;"")),ROWS(R$2:R5))),"")</f>
        <v/>
      </c>
      <c r="S5" t="str">
        <f ca="1">IFERROR(INDEX('Staff Allocation'!$C$3:$C$62,_xludf.AGGREGATE(15,6,(ROW('Staff Allocation'!$C$3:$C$62)-ROW('Staff Allocation'!$C$3)+1)/(('Staff Allocation'!$A$3:$A$62=S$1)*('Staff Allocation'!$C$3:$C$62&lt;&gt;"")),ROWS(S$2:S5))),"")</f>
        <v/>
      </c>
      <c r="T5" t="str">
        <f ca="1">IFERROR(INDEX('Staff Allocation'!$C$3:$C$62,_xludf.AGGREGATE(15,6,(ROW('Staff Allocation'!$C$3:$C$62)-ROW('Staff Allocation'!$C$3)+1)/(('Staff Allocation'!$A$3:$A$62=T$1)*('Staff Allocation'!$C$3:$C$62&lt;&gt;"")),ROWS(T$2:T5))),"")</f>
        <v/>
      </c>
      <c r="U5" t="str">
        <f ca="1">IFERROR(INDEX('Staff Allocation'!$C$3:$C$62,_xludf.AGGREGATE(15,6,(ROW('Staff Allocation'!$C$3:$C$62)-ROW('Staff Allocation'!$C$3)+1)/(('Staff Allocation'!$A$3:$A$62=U$1)*('Staff Allocation'!$C$3:$C$62&lt;&gt;"")),ROWS(U$2:U5))),"")</f>
        <v/>
      </c>
      <c r="V5" t="str">
        <f ca="1">IFERROR(INDEX('Staff Allocation'!$C$3:$C$62,_xludf.AGGREGATE(15,6,(ROW('Staff Allocation'!$C$3:$C$62)-ROW('Staff Allocation'!$C$3)+1)/(('Staff Allocation'!$A$3:$A$62=V$1)*('Staff Allocation'!$C$3:$C$62&lt;&gt;"")),ROWS(V$2:V5))),"")</f>
        <v/>
      </c>
      <c r="W5" t="str">
        <f ca="1">IFERROR(INDEX('Staff Allocation'!$C$3:$C$62,_xludf.AGGREGATE(15,6,(ROW('Staff Allocation'!$C$3:$C$62)-ROW('Staff Allocation'!$C$3)+1)/(('Staff Allocation'!$A$3:$A$62=W$1)*('Staff Allocation'!$C$3:$C$62&lt;&gt;"")),ROWS(W$2:W5))),"")</f>
        <v/>
      </c>
      <c r="X5" t="str">
        <f ca="1">IFERROR(INDEX('Staff Allocation'!$C$3:$C$62,_xludf.AGGREGATE(15,6,(ROW('Staff Allocation'!$C$3:$C$62)-ROW('Staff Allocation'!$C$3)+1)/(('Staff Allocation'!$A$3:$A$62=X$1)*('Staff Allocation'!$C$3:$C$62&lt;&gt;"")),ROWS(X$2:X5))),"")</f>
        <v/>
      </c>
      <c r="Y5" t="str">
        <f ca="1">IFERROR(INDEX('Staff Allocation'!$C$3:$C$62,_xludf.AGGREGATE(15,6,(ROW('Staff Allocation'!$C$3:$C$62)-ROW('Staff Allocation'!$C$3)+1)/(('Staff Allocation'!$A$3:$A$62=Y$1)*('Staff Allocation'!$C$3:$C$62&lt;&gt;"")),ROWS(Y$2:Y5))),"")</f>
        <v/>
      </c>
      <c r="Z5" t="str">
        <f ca="1">IFERROR(INDEX('Staff Allocation'!$C$3:$C$62,_xludf.AGGREGATE(15,6,(ROW('Staff Allocation'!$C$3:$C$62)-ROW('Staff Allocation'!$C$3)+1)/(('Staff Allocation'!$A$3:$A$62=Z$1)*('Staff Allocation'!$C$3:$C$62&lt;&gt;"")),ROWS(Z$2:Z5))),"")</f>
        <v/>
      </c>
      <c r="AA5" t="str">
        <f ca="1">IFERROR(INDEX('Staff Allocation'!$C$3:$C$62,_xludf.AGGREGATE(15,6,(ROW('Staff Allocation'!$C$3:$C$62)-ROW('Staff Allocation'!$C$3)+1)/(('Staff Allocation'!$A$3:$A$62=AA$1)*('Staff Allocation'!$C$3:$C$62&lt;&gt;"")),ROWS(AA$2:AA5))),"")</f>
        <v/>
      </c>
      <c r="AB5" t="str">
        <f ca="1">IFERROR(INDEX('Staff Allocation'!$C$3:$C$62,_xludf.AGGREGATE(15,6,(ROW('Staff Allocation'!$C$3:$C$62)-ROW('Staff Allocation'!$C$3)+1)/(('Staff Allocation'!$A$3:$A$62=AB$1)*('Staff Allocation'!$C$3:$C$62&lt;&gt;"")),ROWS(AB$2:AB5))),"")</f>
        <v/>
      </c>
      <c r="AC5" t="str">
        <f ca="1">IFERROR(INDEX('Staff Allocation'!$C$3:$C$62,_xludf.AGGREGATE(15,6,(ROW('Staff Allocation'!$C$3:$C$62)-ROW('Staff Allocation'!$C$3)+1)/(('Staff Allocation'!$A$3:$A$62=AC$1)*('Staff Allocation'!$C$3:$C$62&lt;&gt;"")),ROWS(AC$2:AC5))),"")</f>
        <v/>
      </c>
      <c r="AD5" t="str">
        <f ca="1">IFERROR(INDEX('Staff Allocation'!$C$3:$C$62,_xludf.AGGREGATE(15,6,(ROW('Staff Allocation'!$C$3:$C$62)-ROW('Staff Allocation'!$C$3)+1)/(('Staff Allocation'!$A$3:$A$62=AD$1)*('Staff Allocation'!$C$3:$C$62&lt;&gt;"")),ROWS(AD$2:AD5))),"")</f>
        <v/>
      </c>
    </row>
    <row r="6" spans="1:30">
      <c r="A6" s="9">
        <v>46268</v>
      </c>
      <c r="B6" s="12">
        <v>0.375</v>
      </c>
      <c r="C6" s="12">
        <v>0.5</v>
      </c>
      <c r="D6" s="54" t="s">
        <v>69</v>
      </c>
      <c r="E6" s="54" t="str">
        <f>IFERROR(INDEX(Setup!$I$3:$I$17,MATCH($D6,Setup!$H$3:$H$17,0)),"")</f>
        <v>Interior RS Mitra Medika</v>
      </c>
      <c r="F6" s="54" t="s">
        <v>123</v>
      </c>
      <c r="G6" s="54" t="s">
        <v>47</v>
      </c>
      <c r="H6" s="54" t="s">
        <v>110</v>
      </c>
      <c r="I6" s="54" t="s">
        <v>118</v>
      </c>
      <c r="J6" s="54" t="s">
        <v>67</v>
      </c>
      <c r="K6" s="54" t="s">
        <v>91</v>
      </c>
      <c r="L6" s="54" t="str">
        <f>IF(OR(AND(G6&lt;&gt;"",SUMPRODUCT(($A$3:$A$62=$A6)*($B$3:$B$62&lt;$C6)*($C$3:$C$62&gt;$B6)*(ROW($A$3:$A$62)&lt;&gt;ROW())*((($G$3:$G$62=G6)+($H$3:$H$62=G6)+($I$3:$I$62=G6)+($J$3:$J$62=G6))&gt;0))&gt;0),AND(H6&lt;&gt;"",SUMPRODUCT(($A$3:$A$62=$A6)*($B$3:$B$62&lt;$C6)*($C$3:$C$62&gt;$B6)*(ROW($A$3:$A$62)&lt;&gt;ROW())*((($G$3:$G$62=H6)+($H$3:$H$62=H6)+($I$3:$I$62=H6)+($J$3:$J$62=H6))&gt;0))&gt;0),AND(I6&lt;&gt;"",SUMPRODUCT(($A$3:$A$62=$A6)*($B$3:$B$62&lt;$C6)*($C$3:$C$62&gt;$B6)*(ROW($A$3:$A$62)&lt;&gt;ROW())*((($G$3:$G$62=I6)+($H$3:$H$62=I6)+($I$3:$I$62=I6)+($J$3:$J$62=I6))&gt;0))&gt;0),AND(J6&lt;&gt;"",SUMPRODUCT(($A$3:$A$62=$A6)*($B$3:$B$62&lt;$C6)*($C$3:$C$62&gt;$B6)*(ROW($A$3:$A$62)&lt;&gt;ROW())*((($G$3:$G$62=J6)+($H$3:$H$62=J6)+($I$3:$I$62=J6)+($J$3:$J$62=J6))&gt;0))&gt;0)),"RED - MEETING CLASH",IF(OR(AND(G6&lt;&gt;"",COUNTIFS('Work Activity'!$C$3:$C$89,$A6,'Work Activity'!$G$3:$G$89,G6,'Work Activity'!$A$3:$A$89,"&lt;&gt;"&amp;$D6)&gt;0),AND(H6&lt;&gt;"",COUNTIFS('Work Activity'!$C$3:$C$89,$A6,'Work Activity'!$G$3:$G$89,H6,'Work Activity'!$A$3:$A$89,"&lt;&gt;"&amp;$D6)&gt;0),AND(I6&lt;&gt;"",COUNTIFS('Work Activity'!$C$3:$C$89,$A6,'Work Activity'!$G$3:$G$89,I6,'Work Activity'!$A$3:$A$89,"&lt;&gt;"&amp;$D6)&gt;0),AND(J6&lt;&gt;"",COUNTIFS('Work Activity'!$C$3:$C$89,$A6,'Work Activity'!$G$3:$G$89,J6,'Work Activity'!$A$3:$A$89,"&lt;&gt;"&amp;$D6)&gt;0)),"YELLOW - DEADLINE CHECK","CLEAR"))</f>
        <v>RED - MEETING CLASH</v>
      </c>
      <c r="M6" s="54" t="str">
        <f>TRIM(IF(AND(G6&lt;&gt;"",SUMPRODUCT(($A$3:$A$62=$A6)*($B$3:$B$62&lt;$C6)*($C$3:$C$62&gt;$B6)*(ROW($A$3:$A$62)&lt;&gt;ROW())*((($G$3:$G$62=G6)+($H$3:$H$62=G6)+($I$3:$I$62=G6)+($J$3:$J$62=G6))&gt;0))&gt;0),"RED: "&amp;G6&amp;" bentrok meeting. ","")&amp;IF(AND(G6&lt;&gt;"",NOT(SUMPRODUCT(($A$3:$A$62=$A6)*($B$3:$B$62&lt;$C6)*($C$3:$C$62&gt;$B6)*(ROW($A$3:$A$62)&lt;&gt;ROW())*((($G$3:$G$62=G6)+($H$3:$H$62=G6)+($I$3:$I$62=G6)+($J$3:$J$62=G6))&gt;0))&gt;0),COUNTIFS('Work Activity'!$C$3:$C$89,$A6,'Work Activity'!$G$3:$G$89,G6,'Work Activity'!$A$3:$A$89,"&lt;&gt;"&amp;$D6)&gt;0),"YELLOW: "&amp;G6&amp;" punya deadline project lain pada tanggal yang sama. ","")&amp;IF(AND(H6&lt;&gt;"",SUMPRODUCT(($A$3:$A$62=$A6)*($B$3:$B$62&lt;$C6)*($C$3:$C$62&gt;$B6)*(ROW($A$3:$A$62)&lt;&gt;ROW())*((($G$3:$G$62=H6)+($H$3:$H$62=H6)+($I$3:$I$62=H6)+($J$3:$J$62=H6))&gt;0))&gt;0),"RED: "&amp;H6&amp;" bentrok meeting. ","")&amp;IF(AND(H6&lt;&gt;"",NOT(SUMPRODUCT(($A$3:$A$62=$A6)*($B$3:$B$62&lt;$C6)*($C$3:$C$62&gt;$B6)*(ROW($A$3:$A$62)&lt;&gt;ROW())*((($G$3:$G$62=H6)+($H$3:$H$62=H6)+($I$3:$I$62=H6)+($J$3:$J$62=H6))&gt;0))&gt;0),COUNTIFS('Work Activity'!$C$3:$C$89,$A6,'Work Activity'!$G$3:$G$89,H6,'Work Activity'!$A$3:$A$89,"&lt;&gt;"&amp;$D6)&gt;0),"YELLOW: "&amp;H6&amp;" punya deadline project lain pada tanggal yang sama. ","")&amp;IF(AND(I6&lt;&gt;"",SUMPRODUCT(($A$3:$A$62=$A6)*($B$3:$B$62&lt;$C6)*($C$3:$C$62&gt;$B6)*(ROW($A$3:$A$62)&lt;&gt;ROW())*((($G$3:$G$62=I6)+($H$3:$H$62=I6)+($I$3:$I$62=I6)+($J$3:$J$62=I6))&gt;0))&gt;0),"RED: "&amp;I6&amp;" bentrok meeting. ","")&amp;IF(AND(I6&lt;&gt;"",NOT(SUMPRODUCT(($A$3:$A$62=$A6)*($B$3:$B$62&lt;$C6)*($C$3:$C$62&gt;$B6)*(ROW($A$3:$A$62)&lt;&gt;ROW())*((($G$3:$G$62=I6)+($H$3:$H$62=I6)+($I$3:$I$62=I6)+($J$3:$J$62=I6))&gt;0))&gt;0),COUNTIFS('Work Activity'!$C$3:$C$89,$A6,'Work Activity'!$G$3:$G$89,I6,'Work Activity'!$A$3:$A$89,"&lt;&gt;"&amp;$D6)&gt;0),"YELLOW: "&amp;I6&amp;" punya deadline project lain pada tanggal yang sama. ","")&amp;IF(AND(J6&lt;&gt;"",SUMPRODUCT(($A$3:$A$62=$A6)*($B$3:$B$62&lt;$C6)*($C$3:$C$62&gt;$B6)*(ROW($A$3:$A$62)&lt;&gt;ROW())*((($G$3:$G$62=J6)+($H$3:$H$62=J6)+($I$3:$I$62=J6)+($J$3:$J$62=J6))&gt;0))&gt;0),"RED: "&amp;J6&amp;" bentrok meeting. ","")&amp;IF(AND(J6&lt;&gt;"",NOT(SUMPRODUCT(($A$3:$A$62=$A6)*($B$3:$B$62&lt;$C6)*($C$3:$C$62&gt;$B6)*(ROW($A$3:$A$62)&lt;&gt;ROW())*((($G$3:$G$62=J6)+($H$3:$H$62=J6)+($I$3:$I$62=J6)+($J$3:$J$62=J6))&gt;0))&gt;0),COUNTIFS('Work Activity'!$C$3:$C$89,$A6,'Work Activity'!$G$3:$G$89,J6,'Work Activity'!$A$3:$A$89,"&lt;&gt;"&amp;$D6)&gt;0),"YELLOW: "&amp;J6&amp;" punya deadline project lain pada tanggal yang sama. ",""))</f>
        <v>RED: Alifa bentrok meeting.</v>
      </c>
      <c r="N6" s="54" t="s">
        <v>262</v>
      </c>
      <c r="O6" s="54" t="str">
        <f t="shared" si="0"/>
        <v>P0220260903</v>
      </c>
      <c r="P6" t="str">
        <f ca="1">IFERROR(INDEX('Staff Allocation'!$C$3:$C$62,_xludf.AGGREGATE(15,6,(ROW('Staff Allocation'!$C$3:$C$62)-ROW('Staff Allocation'!$C$3)+1)/(('Staff Allocation'!$A$3:$A$62=P$1)*('Staff Allocation'!$C$3:$C$62&lt;&gt;"")),ROWS(P$2:P6))),"")</f>
        <v/>
      </c>
      <c r="Q6" t="str">
        <f ca="1">IFERROR(INDEX('Staff Allocation'!$C$3:$C$62,_xludf.AGGREGATE(15,6,(ROW('Staff Allocation'!$C$3:$C$62)-ROW('Staff Allocation'!$C$3)+1)/(('Staff Allocation'!$A$3:$A$62=Q$1)*('Staff Allocation'!$C$3:$C$62&lt;&gt;"")),ROWS(Q$2:Q6))),"")</f>
        <v/>
      </c>
      <c r="R6" t="str">
        <f ca="1">IFERROR(INDEX('Staff Allocation'!$C$3:$C$62,_xludf.AGGREGATE(15,6,(ROW('Staff Allocation'!$C$3:$C$62)-ROW('Staff Allocation'!$C$3)+1)/(('Staff Allocation'!$A$3:$A$62=R$1)*('Staff Allocation'!$C$3:$C$62&lt;&gt;"")),ROWS(R$2:R6))),"")</f>
        <v/>
      </c>
      <c r="S6" t="str">
        <f ca="1">IFERROR(INDEX('Staff Allocation'!$C$3:$C$62,_xludf.AGGREGATE(15,6,(ROW('Staff Allocation'!$C$3:$C$62)-ROW('Staff Allocation'!$C$3)+1)/(('Staff Allocation'!$A$3:$A$62=S$1)*('Staff Allocation'!$C$3:$C$62&lt;&gt;"")),ROWS(S$2:S6))),"")</f>
        <v/>
      </c>
      <c r="T6" t="str">
        <f ca="1">IFERROR(INDEX('Staff Allocation'!$C$3:$C$62,_xludf.AGGREGATE(15,6,(ROW('Staff Allocation'!$C$3:$C$62)-ROW('Staff Allocation'!$C$3)+1)/(('Staff Allocation'!$A$3:$A$62=T$1)*('Staff Allocation'!$C$3:$C$62&lt;&gt;"")),ROWS(T$2:T6))),"")</f>
        <v/>
      </c>
      <c r="U6" t="str">
        <f ca="1">IFERROR(INDEX('Staff Allocation'!$C$3:$C$62,_xludf.AGGREGATE(15,6,(ROW('Staff Allocation'!$C$3:$C$62)-ROW('Staff Allocation'!$C$3)+1)/(('Staff Allocation'!$A$3:$A$62=U$1)*('Staff Allocation'!$C$3:$C$62&lt;&gt;"")),ROWS(U$2:U6))),"")</f>
        <v/>
      </c>
      <c r="V6" t="str">
        <f ca="1">IFERROR(INDEX('Staff Allocation'!$C$3:$C$62,_xludf.AGGREGATE(15,6,(ROW('Staff Allocation'!$C$3:$C$62)-ROW('Staff Allocation'!$C$3)+1)/(('Staff Allocation'!$A$3:$A$62=V$1)*('Staff Allocation'!$C$3:$C$62&lt;&gt;"")),ROWS(V$2:V6))),"")</f>
        <v/>
      </c>
      <c r="W6" t="str">
        <f ca="1">IFERROR(INDEX('Staff Allocation'!$C$3:$C$62,_xludf.AGGREGATE(15,6,(ROW('Staff Allocation'!$C$3:$C$62)-ROW('Staff Allocation'!$C$3)+1)/(('Staff Allocation'!$A$3:$A$62=W$1)*('Staff Allocation'!$C$3:$C$62&lt;&gt;"")),ROWS(W$2:W6))),"")</f>
        <v/>
      </c>
      <c r="X6" t="str">
        <f ca="1">IFERROR(INDEX('Staff Allocation'!$C$3:$C$62,_xludf.AGGREGATE(15,6,(ROW('Staff Allocation'!$C$3:$C$62)-ROW('Staff Allocation'!$C$3)+1)/(('Staff Allocation'!$A$3:$A$62=X$1)*('Staff Allocation'!$C$3:$C$62&lt;&gt;"")),ROWS(X$2:X6))),"")</f>
        <v/>
      </c>
      <c r="Y6" t="str">
        <f ca="1">IFERROR(INDEX('Staff Allocation'!$C$3:$C$62,_xludf.AGGREGATE(15,6,(ROW('Staff Allocation'!$C$3:$C$62)-ROW('Staff Allocation'!$C$3)+1)/(('Staff Allocation'!$A$3:$A$62=Y$1)*('Staff Allocation'!$C$3:$C$62&lt;&gt;"")),ROWS(Y$2:Y6))),"")</f>
        <v/>
      </c>
      <c r="Z6" t="str">
        <f ca="1">IFERROR(INDEX('Staff Allocation'!$C$3:$C$62,_xludf.AGGREGATE(15,6,(ROW('Staff Allocation'!$C$3:$C$62)-ROW('Staff Allocation'!$C$3)+1)/(('Staff Allocation'!$A$3:$A$62=Z$1)*('Staff Allocation'!$C$3:$C$62&lt;&gt;"")),ROWS(Z$2:Z6))),"")</f>
        <v/>
      </c>
      <c r="AA6" t="str">
        <f ca="1">IFERROR(INDEX('Staff Allocation'!$C$3:$C$62,_xludf.AGGREGATE(15,6,(ROW('Staff Allocation'!$C$3:$C$62)-ROW('Staff Allocation'!$C$3)+1)/(('Staff Allocation'!$A$3:$A$62=AA$1)*('Staff Allocation'!$C$3:$C$62&lt;&gt;"")),ROWS(AA$2:AA6))),"")</f>
        <v/>
      </c>
      <c r="AB6" t="str">
        <f ca="1">IFERROR(INDEX('Staff Allocation'!$C$3:$C$62,_xludf.AGGREGATE(15,6,(ROW('Staff Allocation'!$C$3:$C$62)-ROW('Staff Allocation'!$C$3)+1)/(('Staff Allocation'!$A$3:$A$62=AB$1)*('Staff Allocation'!$C$3:$C$62&lt;&gt;"")),ROWS(AB$2:AB6))),"")</f>
        <v/>
      </c>
      <c r="AC6" t="str">
        <f ca="1">IFERROR(INDEX('Staff Allocation'!$C$3:$C$62,_xludf.AGGREGATE(15,6,(ROW('Staff Allocation'!$C$3:$C$62)-ROW('Staff Allocation'!$C$3)+1)/(('Staff Allocation'!$A$3:$A$62=AC$1)*('Staff Allocation'!$C$3:$C$62&lt;&gt;"")),ROWS(AC$2:AC6))),"")</f>
        <v/>
      </c>
      <c r="AD6" t="str">
        <f ca="1">IFERROR(INDEX('Staff Allocation'!$C$3:$C$62,_xludf.AGGREGATE(15,6,(ROW('Staff Allocation'!$C$3:$C$62)-ROW('Staff Allocation'!$C$3)+1)/(('Staff Allocation'!$A$3:$A$62=AD$1)*('Staff Allocation'!$C$3:$C$62&lt;&gt;"")),ROWS(AD$2:AD6))),"")</f>
        <v/>
      </c>
    </row>
    <row r="7" spans="1:30">
      <c r="A7" s="9"/>
      <c r="B7" s="12"/>
      <c r="C7" s="12"/>
      <c r="D7"/>
      <c r="E7"/>
      <c r="F7"/>
      <c r="G7"/>
      <c r="H7"/>
      <c r="I7"/>
      <c r="K7"/>
      <c r="L7" t="str">
        <f>IF(OR(AND(G7&lt;&gt;"",SUMPRODUCT(($A$3:$A$62=$A7)*($B$3:$B$62&lt;$C7)*($C$3:$C$62&gt;$B7)*(ROW($A$3:$A$62)&lt;&gt;ROW())*((($G$3:$G$62=G7)+($H$3:$H$62=G7)+($I$3:$I$62=G7)+($J$3:$J$62=G7))&gt;0))&gt;0),AND(H7&lt;&gt;"",SUMPRODUCT(($A$3:$A$62=$A7)*($B$3:$B$62&lt;$C7)*($C$3:$C$62&gt;$B7)*(ROW($A$3:$A$62)&lt;&gt;ROW())*((($G$3:$G$62=H7)+($H$3:$H$62=H7)+($I$3:$I$62=H7)+($J$3:$J$62=H7))&gt;0))&gt;0),AND(I7&lt;&gt;"",SUMPRODUCT(($A$3:$A$62=$A7)*($B$3:$B$62&lt;$C7)*($C$3:$C$62&gt;$B7)*(ROW($A$3:$A$62)&lt;&gt;ROW())*((($G$3:$G$62=I7)+($H$3:$H$62=I7)+($I$3:$I$62=I7)+($J$3:$J$62=I7))&gt;0))&gt;0),AND(J7&lt;&gt;"",SUMPRODUCT(($A$3:$A$62=$A7)*($B$3:$B$62&lt;$C7)*($C$3:$C$62&gt;$B7)*(ROW($A$3:$A$62)&lt;&gt;ROW())*((($G$3:$G$62=J7)+($H$3:$H$62=J7)+($I$3:$I$62=J7)+($J$3:$J$62=J7))&gt;0))&gt;0)),"RED - MEETING CLASH",IF(OR(AND(G7&lt;&gt;"",COUNTIFS('Work Activity'!$C$3:$C$89,$A7,'Work Activity'!$G$3:$G$89,G7,'Work Activity'!$A$3:$A$89,"&lt;&gt;"&amp;$D7)&gt;0),AND(H7&lt;&gt;"",COUNTIFS('Work Activity'!$C$3:$C$89,$A7,'Work Activity'!$G$3:$G$89,H7,'Work Activity'!$A$3:$A$89,"&lt;&gt;"&amp;$D7)&gt;0),AND(I7&lt;&gt;"",COUNTIFS('Work Activity'!$C$3:$C$89,$A7,'Work Activity'!$G$3:$G$89,I7,'Work Activity'!$A$3:$A$89,"&lt;&gt;"&amp;$D7)&gt;0),AND(J7&lt;&gt;"",COUNTIFS('Work Activity'!$C$3:$C$89,$A7,'Work Activity'!$G$3:$G$89,J7,'Work Activity'!$A$3:$A$89,"&lt;&gt;"&amp;$D7)&gt;0)),"YELLOW - DEADLINE CHECK","CLEAR"))</f>
        <v>CLEAR</v>
      </c>
      <c r="M7" t="str">
        <f>TRIM(IF(AND(G7&lt;&gt;"",SUMPRODUCT(($A$3:$A$62=$A7)*($B$3:$B$62&lt;$C7)*($C$3:$C$62&gt;$B7)*(ROW($A$3:$A$62)&lt;&gt;ROW())*((($G$3:$G$62=G7)+($H$3:$H$62=G7)+($I$3:$I$62=G7)+($J$3:$J$62=G7))&gt;0))&gt;0),"RED: "&amp;G7&amp;" bentrok meeting. ","")&amp;IF(AND(G7&lt;&gt;"",NOT(SUMPRODUCT(($A$3:$A$62=$A7)*($B$3:$B$62&lt;$C7)*($C$3:$C$62&gt;$B7)*(ROW($A$3:$A$62)&lt;&gt;ROW())*((($G$3:$G$62=G7)+($H$3:$H$62=G7)+($I$3:$I$62=G7)+($J$3:$J$62=G7))&gt;0))&gt;0),COUNTIFS('Work Activity'!$C$3:$C$89,$A7,'Work Activity'!$G$3:$G$89,G7,'Work Activity'!$A$3:$A$89,"&lt;&gt;"&amp;$D7)&gt;0),"YELLOW: "&amp;G7&amp;" punya deadline project lain pada tanggal yang sama. ","")&amp;IF(AND(H7&lt;&gt;"",SUMPRODUCT(($A$3:$A$62=$A7)*($B$3:$B$62&lt;$C7)*($C$3:$C$62&gt;$B7)*(ROW($A$3:$A$62)&lt;&gt;ROW())*((($G$3:$G$62=H7)+($H$3:$H$62=H7)+($I$3:$I$62=H7)+($J$3:$J$62=H7))&gt;0))&gt;0),"RED: "&amp;H7&amp;" bentrok meeting. ","")&amp;IF(AND(H7&lt;&gt;"",NOT(SUMPRODUCT(($A$3:$A$62=$A7)*($B$3:$B$62&lt;$C7)*($C$3:$C$62&gt;$B7)*(ROW($A$3:$A$62)&lt;&gt;ROW())*((($G$3:$G$62=H7)+($H$3:$H$62=H7)+($I$3:$I$62=H7)+($J$3:$J$62=H7))&gt;0))&gt;0),COUNTIFS('Work Activity'!$C$3:$C$89,$A7,'Work Activity'!$G$3:$G$89,H7,'Work Activity'!$A$3:$A$89,"&lt;&gt;"&amp;$D7)&gt;0),"YELLOW: "&amp;H7&amp;" punya deadline project lain pada tanggal yang sama. ","")&amp;IF(AND(I7&lt;&gt;"",SUMPRODUCT(($A$3:$A$62=$A7)*($B$3:$B$62&lt;$C7)*($C$3:$C$62&gt;$B7)*(ROW($A$3:$A$62)&lt;&gt;ROW())*((($G$3:$G$62=I7)+($H$3:$H$62=I7)+($I$3:$I$62=I7)+($J$3:$J$62=I7))&gt;0))&gt;0),"RED: "&amp;I7&amp;" bentrok meeting. ","")&amp;IF(AND(I7&lt;&gt;"",NOT(SUMPRODUCT(($A$3:$A$62=$A7)*($B$3:$B$62&lt;$C7)*($C$3:$C$62&gt;$B7)*(ROW($A$3:$A$62)&lt;&gt;ROW())*((($G$3:$G$62=I7)+($H$3:$H$62=I7)+($I$3:$I$62=I7)+($J$3:$J$62=I7))&gt;0))&gt;0),COUNTIFS('Work Activity'!$C$3:$C$89,$A7,'Work Activity'!$G$3:$G$89,I7,'Work Activity'!$A$3:$A$89,"&lt;&gt;"&amp;$D7)&gt;0),"YELLOW: "&amp;I7&amp;" punya deadline project lain pada tanggal yang sama. ","")&amp;IF(AND(J7&lt;&gt;"",SUMPRODUCT(($A$3:$A$62=$A7)*($B$3:$B$62&lt;$C7)*($C$3:$C$62&gt;$B7)*(ROW($A$3:$A$62)&lt;&gt;ROW())*((($G$3:$G$62=J7)+($H$3:$H$62=J7)+($I$3:$I$62=J7)+($J$3:$J$62=J7))&gt;0))&gt;0),"RED: "&amp;J7&amp;" bentrok meeting. ","")&amp;IF(AND(J7&lt;&gt;"",NOT(SUMPRODUCT(($A$3:$A$62=$A7)*($B$3:$B$62&lt;$C7)*($C$3:$C$62&gt;$B7)*(ROW($A$3:$A$62)&lt;&gt;ROW())*((($G$3:$G$62=J7)+($H$3:$H$62=J7)+($I$3:$I$62=J7)+($J$3:$J$62=J7))&gt;0))&gt;0),COUNTIFS('Work Activity'!$C$3:$C$89,$A7,'Work Activity'!$G$3:$G$89,J7,'Work Activity'!$A$3:$A$89,"&lt;&gt;"&amp;$D7)&gt;0),"YELLOW: "&amp;J7&amp;" punya deadline project lain pada tanggal yang sama. ",""))</f>
        <v/>
      </c>
      <c r="N7"/>
      <c r="O7" t="str">
        <f t="shared" si="0"/>
        <v/>
      </c>
      <c r="P7" t="str">
        <f ca="1">IFERROR(INDEX('Staff Allocation'!$C$3:$C$62,_xludf.AGGREGATE(15,6,(ROW('Staff Allocation'!$C$3:$C$62)-ROW('Staff Allocation'!$C$3)+1)/(('Staff Allocation'!$A$3:$A$62=P$1)*('Staff Allocation'!$C$3:$C$62&lt;&gt;"")),ROWS(P$2:P7))),"")</f>
        <v/>
      </c>
      <c r="Q7" t="str">
        <f ca="1">IFERROR(INDEX('Staff Allocation'!$C$3:$C$62,_xludf.AGGREGATE(15,6,(ROW('Staff Allocation'!$C$3:$C$62)-ROW('Staff Allocation'!$C$3)+1)/(('Staff Allocation'!$A$3:$A$62=Q$1)*('Staff Allocation'!$C$3:$C$62&lt;&gt;"")),ROWS(Q$2:Q7))),"")</f>
        <v/>
      </c>
      <c r="R7" t="str">
        <f ca="1">IFERROR(INDEX('Staff Allocation'!$C$3:$C$62,_xludf.AGGREGATE(15,6,(ROW('Staff Allocation'!$C$3:$C$62)-ROW('Staff Allocation'!$C$3)+1)/(('Staff Allocation'!$A$3:$A$62=R$1)*('Staff Allocation'!$C$3:$C$62&lt;&gt;"")),ROWS(R$2:R7))),"")</f>
        <v/>
      </c>
      <c r="S7" t="str">
        <f ca="1">IFERROR(INDEX('Staff Allocation'!$C$3:$C$62,_xludf.AGGREGATE(15,6,(ROW('Staff Allocation'!$C$3:$C$62)-ROW('Staff Allocation'!$C$3)+1)/(('Staff Allocation'!$A$3:$A$62=S$1)*('Staff Allocation'!$C$3:$C$62&lt;&gt;"")),ROWS(S$2:S7))),"")</f>
        <v/>
      </c>
      <c r="T7" t="str">
        <f ca="1">IFERROR(INDEX('Staff Allocation'!$C$3:$C$62,_xludf.AGGREGATE(15,6,(ROW('Staff Allocation'!$C$3:$C$62)-ROW('Staff Allocation'!$C$3)+1)/(('Staff Allocation'!$A$3:$A$62=T$1)*('Staff Allocation'!$C$3:$C$62&lt;&gt;"")),ROWS(T$2:T7))),"")</f>
        <v/>
      </c>
      <c r="U7" t="str">
        <f ca="1">IFERROR(INDEX('Staff Allocation'!$C$3:$C$62,_xludf.AGGREGATE(15,6,(ROW('Staff Allocation'!$C$3:$C$62)-ROW('Staff Allocation'!$C$3)+1)/(('Staff Allocation'!$A$3:$A$62=U$1)*('Staff Allocation'!$C$3:$C$62&lt;&gt;"")),ROWS(U$2:U7))),"")</f>
        <v/>
      </c>
      <c r="V7" t="str">
        <f ca="1">IFERROR(INDEX('Staff Allocation'!$C$3:$C$62,_xludf.AGGREGATE(15,6,(ROW('Staff Allocation'!$C$3:$C$62)-ROW('Staff Allocation'!$C$3)+1)/(('Staff Allocation'!$A$3:$A$62=V$1)*('Staff Allocation'!$C$3:$C$62&lt;&gt;"")),ROWS(V$2:V7))),"")</f>
        <v/>
      </c>
      <c r="W7" t="str">
        <f ca="1">IFERROR(INDEX('Staff Allocation'!$C$3:$C$62,_xludf.AGGREGATE(15,6,(ROW('Staff Allocation'!$C$3:$C$62)-ROW('Staff Allocation'!$C$3)+1)/(('Staff Allocation'!$A$3:$A$62=W$1)*('Staff Allocation'!$C$3:$C$62&lt;&gt;"")),ROWS(W$2:W7))),"")</f>
        <v/>
      </c>
      <c r="X7" t="str">
        <f ca="1">IFERROR(INDEX('Staff Allocation'!$C$3:$C$62,_xludf.AGGREGATE(15,6,(ROW('Staff Allocation'!$C$3:$C$62)-ROW('Staff Allocation'!$C$3)+1)/(('Staff Allocation'!$A$3:$A$62=X$1)*('Staff Allocation'!$C$3:$C$62&lt;&gt;"")),ROWS(X$2:X7))),"")</f>
        <v/>
      </c>
      <c r="Y7" t="str">
        <f ca="1">IFERROR(INDEX('Staff Allocation'!$C$3:$C$62,_xludf.AGGREGATE(15,6,(ROW('Staff Allocation'!$C$3:$C$62)-ROW('Staff Allocation'!$C$3)+1)/(('Staff Allocation'!$A$3:$A$62=Y$1)*('Staff Allocation'!$C$3:$C$62&lt;&gt;"")),ROWS(Y$2:Y7))),"")</f>
        <v/>
      </c>
      <c r="Z7" t="str">
        <f ca="1">IFERROR(INDEX('Staff Allocation'!$C$3:$C$62,_xludf.AGGREGATE(15,6,(ROW('Staff Allocation'!$C$3:$C$62)-ROW('Staff Allocation'!$C$3)+1)/(('Staff Allocation'!$A$3:$A$62=Z$1)*('Staff Allocation'!$C$3:$C$62&lt;&gt;"")),ROWS(Z$2:Z7))),"")</f>
        <v/>
      </c>
      <c r="AA7" t="str">
        <f ca="1">IFERROR(INDEX('Staff Allocation'!$C$3:$C$62,_xludf.AGGREGATE(15,6,(ROW('Staff Allocation'!$C$3:$C$62)-ROW('Staff Allocation'!$C$3)+1)/(('Staff Allocation'!$A$3:$A$62=AA$1)*('Staff Allocation'!$C$3:$C$62&lt;&gt;"")),ROWS(AA$2:AA7))),"")</f>
        <v/>
      </c>
      <c r="AB7" t="str">
        <f ca="1">IFERROR(INDEX('Staff Allocation'!$C$3:$C$62,_xludf.AGGREGATE(15,6,(ROW('Staff Allocation'!$C$3:$C$62)-ROW('Staff Allocation'!$C$3)+1)/(('Staff Allocation'!$A$3:$A$62=AB$1)*('Staff Allocation'!$C$3:$C$62&lt;&gt;"")),ROWS(AB$2:AB7))),"")</f>
        <v/>
      </c>
      <c r="AC7" t="str">
        <f ca="1">IFERROR(INDEX('Staff Allocation'!$C$3:$C$62,_xludf.AGGREGATE(15,6,(ROW('Staff Allocation'!$C$3:$C$62)-ROW('Staff Allocation'!$C$3)+1)/(('Staff Allocation'!$A$3:$A$62=AC$1)*('Staff Allocation'!$C$3:$C$62&lt;&gt;"")),ROWS(AC$2:AC7))),"")</f>
        <v/>
      </c>
      <c r="AD7" t="str">
        <f ca="1">IFERROR(INDEX('Staff Allocation'!$C$3:$C$62,_xludf.AGGREGATE(15,6,(ROW('Staff Allocation'!$C$3:$C$62)-ROW('Staff Allocation'!$C$3)+1)/(('Staff Allocation'!$A$3:$A$62=AD$1)*('Staff Allocation'!$C$3:$C$62&lt;&gt;"")),ROWS(AD$2:AD7))),"")</f>
        <v/>
      </c>
    </row>
    <row r="8" spans="1:30">
      <c r="A8" s="9"/>
      <c r="B8" s="12"/>
      <c r="C8" s="12"/>
      <c r="D8"/>
      <c r="E8"/>
      <c r="F8"/>
      <c r="G8"/>
      <c r="H8"/>
      <c r="I8"/>
      <c r="K8"/>
      <c r="L8" t="str">
        <f>IF(OR(AND(G8&lt;&gt;"",SUMPRODUCT(($A$3:$A$62=$A8)*($B$3:$B$62&lt;$C8)*($C$3:$C$62&gt;$B8)*(ROW($A$3:$A$62)&lt;&gt;ROW())*((($G$3:$G$62=G8)+($H$3:$H$62=G8)+($I$3:$I$62=G8)+($J$3:$J$62=G8))&gt;0))&gt;0),AND(H8&lt;&gt;"",SUMPRODUCT(($A$3:$A$62=$A8)*($B$3:$B$62&lt;$C8)*($C$3:$C$62&gt;$B8)*(ROW($A$3:$A$62)&lt;&gt;ROW())*((($G$3:$G$62=H8)+($H$3:$H$62=H8)+($I$3:$I$62=H8)+($J$3:$J$62=H8))&gt;0))&gt;0),AND(I8&lt;&gt;"",SUMPRODUCT(($A$3:$A$62=$A8)*($B$3:$B$62&lt;$C8)*($C$3:$C$62&gt;$B8)*(ROW($A$3:$A$62)&lt;&gt;ROW())*((($G$3:$G$62=I8)+($H$3:$H$62=I8)+($I$3:$I$62=I8)+($J$3:$J$62=I8))&gt;0))&gt;0),AND(J8&lt;&gt;"",SUMPRODUCT(($A$3:$A$62=$A8)*($B$3:$B$62&lt;$C8)*($C$3:$C$62&gt;$B8)*(ROW($A$3:$A$62)&lt;&gt;ROW())*((($G$3:$G$62=J8)+($H$3:$H$62=J8)+($I$3:$I$62=J8)+($J$3:$J$62=J8))&gt;0))&gt;0)),"RED - MEETING CLASH",IF(OR(AND(G8&lt;&gt;"",COUNTIFS('Work Activity'!$C$3:$C$89,$A8,'Work Activity'!$G$3:$G$89,G8,'Work Activity'!$A$3:$A$89,"&lt;&gt;"&amp;$D8)&gt;0),AND(H8&lt;&gt;"",COUNTIFS('Work Activity'!$C$3:$C$89,$A8,'Work Activity'!$G$3:$G$89,H8,'Work Activity'!$A$3:$A$89,"&lt;&gt;"&amp;$D8)&gt;0),AND(I8&lt;&gt;"",COUNTIFS('Work Activity'!$C$3:$C$89,$A8,'Work Activity'!$G$3:$G$89,I8,'Work Activity'!$A$3:$A$89,"&lt;&gt;"&amp;$D8)&gt;0),AND(J8&lt;&gt;"",COUNTIFS('Work Activity'!$C$3:$C$89,$A8,'Work Activity'!$G$3:$G$89,J8,'Work Activity'!$A$3:$A$89,"&lt;&gt;"&amp;$D8)&gt;0)),"YELLOW - DEADLINE CHECK","CLEAR"))</f>
        <v>CLEAR</v>
      </c>
      <c r="M8" t="str">
        <f>TRIM(IF(AND(G8&lt;&gt;"",SUMPRODUCT(($A$3:$A$62=$A8)*($B$3:$B$62&lt;$C8)*($C$3:$C$62&gt;$B8)*(ROW($A$3:$A$62)&lt;&gt;ROW())*((($G$3:$G$62=G8)+($H$3:$H$62=G8)+($I$3:$I$62=G8)+($J$3:$J$62=G8))&gt;0))&gt;0),"RED: "&amp;G8&amp;" bentrok meeting. ","")&amp;IF(AND(G8&lt;&gt;"",NOT(SUMPRODUCT(($A$3:$A$62=$A8)*($B$3:$B$62&lt;$C8)*($C$3:$C$62&gt;$B8)*(ROW($A$3:$A$62)&lt;&gt;ROW())*((($G$3:$G$62=G8)+($H$3:$H$62=G8)+($I$3:$I$62=G8)+($J$3:$J$62=G8))&gt;0))&gt;0),COUNTIFS('Work Activity'!$C$3:$C$89,$A8,'Work Activity'!$G$3:$G$89,G8,'Work Activity'!$A$3:$A$89,"&lt;&gt;"&amp;$D8)&gt;0),"YELLOW: "&amp;G8&amp;" punya deadline project lain pada tanggal yang sama. ","")&amp;IF(AND(H8&lt;&gt;"",SUMPRODUCT(($A$3:$A$62=$A8)*($B$3:$B$62&lt;$C8)*($C$3:$C$62&gt;$B8)*(ROW($A$3:$A$62)&lt;&gt;ROW())*((($G$3:$G$62=H8)+($H$3:$H$62=H8)+($I$3:$I$62=H8)+($J$3:$J$62=H8))&gt;0))&gt;0),"RED: "&amp;H8&amp;" bentrok meeting. ","")&amp;IF(AND(H8&lt;&gt;"",NOT(SUMPRODUCT(($A$3:$A$62=$A8)*($B$3:$B$62&lt;$C8)*($C$3:$C$62&gt;$B8)*(ROW($A$3:$A$62)&lt;&gt;ROW())*((($G$3:$G$62=H8)+($H$3:$H$62=H8)+($I$3:$I$62=H8)+($J$3:$J$62=H8))&gt;0))&gt;0),COUNTIFS('Work Activity'!$C$3:$C$89,$A8,'Work Activity'!$G$3:$G$89,H8,'Work Activity'!$A$3:$A$89,"&lt;&gt;"&amp;$D8)&gt;0),"YELLOW: "&amp;H8&amp;" punya deadline project lain pada tanggal yang sama. ","")&amp;IF(AND(I8&lt;&gt;"",SUMPRODUCT(($A$3:$A$62=$A8)*($B$3:$B$62&lt;$C8)*($C$3:$C$62&gt;$B8)*(ROW($A$3:$A$62)&lt;&gt;ROW())*((($G$3:$G$62=I8)+($H$3:$H$62=I8)+($I$3:$I$62=I8)+($J$3:$J$62=I8))&gt;0))&gt;0),"RED: "&amp;I8&amp;" bentrok meeting. ","")&amp;IF(AND(I8&lt;&gt;"",NOT(SUMPRODUCT(($A$3:$A$62=$A8)*($B$3:$B$62&lt;$C8)*($C$3:$C$62&gt;$B8)*(ROW($A$3:$A$62)&lt;&gt;ROW())*((($G$3:$G$62=I8)+($H$3:$H$62=I8)+($I$3:$I$62=I8)+($J$3:$J$62=I8))&gt;0))&gt;0),COUNTIFS('Work Activity'!$C$3:$C$89,$A8,'Work Activity'!$G$3:$G$89,I8,'Work Activity'!$A$3:$A$89,"&lt;&gt;"&amp;$D8)&gt;0),"YELLOW: "&amp;I8&amp;" punya deadline project lain pada tanggal yang sama. ","")&amp;IF(AND(J8&lt;&gt;"",SUMPRODUCT(($A$3:$A$62=$A8)*($B$3:$B$62&lt;$C8)*($C$3:$C$62&gt;$B8)*(ROW($A$3:$A$62)&lt;&gt;ROW())*((($G$3:$G$62=J8)+($H$3:$H$62=J8)+($I$3:$I$62=J8)+($J$3:$J$62=J8))&gt;0))&gt;0),"RED: "&amp;J8&amp;" bentrok meeting. ","")&amp;IF(AND(J8&lt;&gt;"",NOT(SUMPRODUCT(($A$3:$A$62=$A8)*($B$3:$B$62&lt;$C8)*($C$3:$C$62&gt;$B8)*(ROW($A$3:$A$62)&lt;&gt;ROW())*((($G$3:$G$62=J8)+($H$3:$H$62=J8)+($I$3:$I$62=J8)+($J$3:$J$62=J8))&gt;0))&gt;0),COUNTIFS('Work Activity'!$C$3:$C$89,$A8,'Work Activity'!$G$3:$G$89,J8,'Work Activity'!$A$3:$A$89,"&lt;&gt;"&amp;$D8)&gt;0),"YELLOW: "&amp;J8&amp;" punya deadline project lain pada tanggal yang sama. ",""))</f>
        <v/>
      </c>
      <c r="N8"/>
      <c r="O8" t="str">
        <f t="shared" si="0"/>
        <v/>
      </c>
      <c r="P8" t="str">
        <f ca="1">IFERROR(INDEX('Staff Allocation'!$C$3:$C$62,_xludf.AGGREGATE(15,6,(ROW('Staff Allocation'!$C$3:$C$62)-ROW('Staff Allocation'!$C$3)+1)/(('Staff Allocation'!$A$3:$A$62=P$1)*('Staff Allocation'!$C$3:$C$62&lt;&gt;"")),ROWS(P$2:P8))),"")</f>
        <v/>
      </c>
      <c r="Q8" t="str">
        <f ca="1">IFERROR(INDEX('Staff Allocation'!$C$3:$C$62,_xludf.AGGREGATE(15,6,(ROW('Staff Allocation'!$C$3:$C$62)-ROW('Staff Allocation'!$C$3)+1)/(('Staff Allocation'!$A$3:$A$62=Q$1)*('Staff Allocation'!$C$3:$C$62&lt;&gt;"")),ROWS(Q$2:Q8))),"")</f>
        <v/>
      </c>
      <c r="R8" t="str">
        <f ca="1">IFERROR(INDEX('Staff Allocation'!$C$3:$C$62,_xludf.AGGREGATE(15,6,(ROW('Staff Allocation'!$C$3:$C$62)-ROW('Staff Allocation'!$C$3)+1)/(('Staff Allocation'!$A$3:$A$62=R$1)*('Staff Allocation'!$C$3:$C$62&lt;&gt;"")),ROWS(R$2:R8))),"")</f>
        <v/>
      </c>
      <c r="S8" t="str">
        <f ca="1">IFERROR(INDEX('Staff Allocation'!$C$3:$C$62,_xludf.AGGREGATE(15,6,(ROW('Staff Allocation'!$C$3:$C$62)-ROW('Staff Allocation'!$C$3)+1)/(('Staff Allocation'!$A$3:$A$62=S$1)*('Staff Allocation'!$C$3:$C$62&lt;&gt;"")),ROWS(S$2:S8))),"")</f>
        <v/>
      </c>
      <c r="T8" t="str">
        <f ca="1">IFERROR(INDEX('Staff Allocation'!$C$3:$C$62,_xludf.AGGREGATE(15,6,(ROW('Staff Allocation'!$C$3:$C$62)-ROW('Staff Allocation'!$C$3)+1)/(('Staff Allocation'!$A$3:$A$62=T$1)*('Staff Allocation'!$C$3:$C$62&lt;&gt;"")),ROWS(T$2:T8))),"")</f>
        <v/>
      </c>
      <c r="U8" t="str">
        <f ca="1">IFERROR(INDEX('Staff Allocation'!$C$3:$C$62,_xludf.AGGREGATE(15,6,(ROW('Staff Allocation'!$C$3:$C$62)-ROW('Staff Allocation'!$C$3)+1)/(('Staff Allocation'!$A$3:$A$62=U$1)*('Staff Allocation'!$C$3:$C$62&lt;&gt;"")),ROWS(U$2:U8))),"")</f>
        <v/>
      </c>
      <c r="V8" t="str">
        <f ca="1">IFERROR(INDEX('Staff Allocation'!$C$3:$C$62,_xludf.AGGREGATE(15,6,(ROW('Staff Allocation'!$C$3:$C$62)-ROW('Staff Allocation'!$C$3)+1)/(('Staff Allocation'!$A$3:$A$62=V$1)*('Staff Allocation'!$C$3:$C$62&lt;&gt;"")),ROWS(V$2:V8))),"")</f>
        <v/>
      </c>
      <c r="W8" t="str">
        <f ca="1">IFERROR(INDEX('Staff Allocation'!$C$3:$C$62,_xludf.AGGREGATE(15,6,(ROW('Staff Allocation'!$C$3:$C$62)-ROW('Staff Allocation'!$C$3)+1)/(('Staff Allocation'!$A$3:$A$62=W$1)*('Staff Allocation'!$C$3:$C$62&lt;&gt;"")),ROWS(W$2:W8))),"")</f>
        <v/>
      </c>
      <c r="X8" t="str">
        <f ca="1">IFERROR(INDEX('Staff Allocation'!$C$3:$C$62,_xludf.AGGREGATE(15,6,(ROW('Staff Allocation'!$C$3:$C$62)-ROW('Staff Allocation'!$C$3)+1)/(('Staff Allocation'!$A$3:$A$62=X$1)*('Staff Allocation'!$C$3:$C$62&lt;&gt;"")),ROWS(X$2:X8))),"")</f>
        <v/>
      </c>
      <c r="Y8" t="str">
        <f ca="1">IFERROR(INDEX('Staff Allocation'!$C$3:$C$62,_xludf.AGGREGATE(15,6,(ROW('Staff Allocation'!$C$3:$C$62)-ROW('Staff Allocation'!$C$3)+1)/(('Staff Allocation'!$A$3:$A$62=Y$1)*('Staff Allocation'!$C$3:$C$62&lt;&gt;"")),ROWS(Y$2:Y8))),"")</f>
        <v/>
      </c>
      <c r="Z8" t="str">
        <f ca="1">IFERROR(INDEX('Staff Allocation'!$C$3:$C$62,_xludf.AGGREGATE(15,6,(ROW('Staff Allocation'!$C$3:$C$62)-ROW('Staff Allocation'!$C$3)+1)/(('Staff Allocation'!$A$3:$A$62=Z$1)*('Staff Allocation'!$C$3:$C$62&lt;&gt;"")),ROWS(Z$2:Z8))),"")</f>
        <v/>
      </c>
      <c r="AA8" t="str">
        <f ca="1">IFERROR(INDEX('Staff Allocation'!$C$3:$C$62,_xludf.AGGREGATE(15,6,(ROW('Staff Allocation'!$C$3:$C$62)-ROW('Staff Allocation'!$C$3)+1)/(('Staff Allocation'!$A$3:$A$62=AA$1)*('Staff Allocation'!$C$3:$C$62&lt;&gt;"")),ROWS(AA$2:AA8))),"")</f>
        <v/>
      </c>
      <c r="AB8" t="str">
        <f ca="1">IFERROR(INDEX('Staff Allocation'!$C$3:$C$62,_xludf.AGGREGATE(15,6,(ROW('Staff Allocation'!$C$3:$C$62)-ROW('Staff Allocation'!$C$3)+1)/(('Staff Allocation'!$A$3:$A$62=AB$1)*('Staff Allocation'!$C$3:$C$62&lt;&gt;"")),ROWS(AB$2:AB8))),"")</f>
        <v/>
      </c>
      <c r="AC8" t="str">
        <f ca="1">IFERROR(INDEX('Staff Allocation'!$C$3:$C$62,_xludf.AGGREGATE(15,6,(ROW('Staff Allocation'!$C$3:$C$62)-ROW('Staff Allocation'!$C$3)+1)/(('Staff Allocation'!$A$3:$A$62=AC$1)*('Staff Allocation'!$C$3:$C$62&lt;&gt;"")),ROWS(AC$2:AC8))),"")</f>
        <v/>
      </c>
      <c r="AD8" t="str">
        <f ca="1">IFERROR(INDEX('Staff Allocation'!$C$3:$C$62,_xludf.AGGREGATE(15,6,(ROW('Staff Allocation'!$C$3:$C$62)-ROW('Staff Allocation'!$C$3)+1)/(('Staff Allocation'!$A$3:$A$62=AD$1)*('Staff Allocation'!$C$3:$C$62&lt;&gt;"")),ROWS(AD$2:AD8))),"")</f>
        <v/>
      </c>
    </row>
    <row r="9" spans="1:30">
      <c r="A9" s="9"/>
      <c r="B9" s="12"/>
      <c r="C9" s="12"/>
      <c r="D9"/>
      <c r="E9"/>
      <c r="F9"/>
      <c r="G9"/>
      <c r="H9"/>
      <c r="I9"/>
      <c r="K9"/>
      <c r="L9" t="str">
        <f>IF(OR(AND(G9&lt;&gt;"",SUMPRODUCT(($A$3:$A$62=$A9)*($B$3:$B$62&lt;$C9)*($C$3:$C$62&gt;$B9)*(ROW($A$3:$A$62)&lt;&gt;ROW())*((($G$3:$G$62=G9)+($H$3:$H$62=G9)+($I$3:$I$62=G9)+($J$3:$J$62=G9))&gt;0))&gt;0),AND(H9&lt;&gt;"",SUMPRODUCT(($A$3:$A$62=$A9)*($B$3:$B$62&lt;$C9)*($C$3:$C$62&gt;$B9)*(ROW($A$3:$A$62)&lt;&gt;ROW())*((($G$3:$G$62=H9)+($H$3:$H$62=H9)+($I$3:$I$62=H9)+($J$3:$J$62=H9))&gt;0))&gt;0),AND(I9&lt;&gt;"",SUMPRODUCT(($A$3:$A$62=$A9)*($B$3:$B$62&lt;$C9)*($C$3:$C$62&gt;$B9)*(ROW($A$3:$A$62)&lt;&gt;ROW())*((($G$3:$G$62=I9)+($H$3:$H$62=I9)+($I$3:$I$62=I9)+($J$3:$J$62=I9))&gt;0))&gt;0),AND(J9&lt;&gt;"",SUMPRODUCT(($A$3:$A$62=$A9)*($B$3:$B$62&lt;$C9)*($C$3:$C$62&gt;$B9)*(ROW($A$3:$A$62)&lt;&gt;ROW())*((($G$3:$G$62=J9)+($H$3:$H$62=J9)+($I$3:$I$62=J9)+($J$3:$J$62=J9))&gt;0))&gt;0)),"RED - MEETING CLASH",IF(OR(AND(G9&lt;&gt;"",COUNTIFS('Work Activity'!$C$3:$C$89,$A9,'Work Activity'!$G$3:$G$89,G9,'Work Activity'!$A$3:$A$89,"&lt;&gt;"&amp;$D9)&gt;0),AND(H9&lt;&gt;"",COUNTIFS('Work Activity'!$C$3:$C$89,$A9,'Work Activity'!$G$3:$G$89,H9,'Work Activity'!$A$3:$A$89,"&lt;&gt;"&amp;$D9)&gt;0),AND(I9&lt;&gt;"",COUNTIFS('Work Activity'!$C$3:$C$89,$A9,'Work Activity'!$G$3:$G$89,I9,'Work Activity'!$A$3:$A$89,"&lt;&gt;"&amp;$D9)&gt;0),AND(J9&lt;&gt;"",COUNTIFS('Work Activity'!$C$3:$C$89,$A9,'Work Activity'!$G$3:$G$89,J9,'Work Activity'!$A$3:$A$89,"&lt;&gt;"&amp;$D9)&gt;0)),"YELLOW - DEADLINE CHECK","CLEAR"))</f>
        <v>CLEAR</v>
      </c>
      <c r="M9" t="str">
        <f>TRIM(IF(AND(G9&lt;&gt;"",SUMPRODUCT(($A$3:$A$62=$A9)*($B$3:$B$62&lt;$C9)*($C$3:$C$62&gt;$B9)*(ROW($A$3:$A$62)&lt;&gt;ROW())*((($G$3:$G$62=G9)+($H$3:$H$62=G9)+($I$3:$I$62=G9)+($J$3:$J$62=G9))&gt;0))&gt;0),"RED: "&amp;G9&amp;" bentrok meeting. ","")&amp;IF(AND(G9&lt;&gt;"",NOT(SUMPRODUCT(($A$3:$A$62=$A9)*($B$3:$B$62&lt;$C9)*($C$3:$C$62&gt;$B9)*(ROW($A$3:$A$62)&lt;&gt;ROW())*((($G$3:$G$62=G9)+($H$3:$H$62=G9)+($I$3:$I$62=G9)+($J$3:$J$62=G9))&gt;0))&gt;0),COUNTIFS('Work Activity'!$C$3:$C$89,$A9,'Work Activity'!$G$3:$G$89,G9,'Work Activity'!$A$3:$A$89,"&lt;&gt;"&amp;$D9)&gt;0),"YELLOW: "&amp;G9&amp;" punya deadline project lain pada tanggal yang sama. ","")&amp;IF(AND(H9&lt;&gt;"",SUMPRODUCT(($A$3:$A$62=$A9)*($B$3:$B$62&lt;$C9)*($C$3:$C$62&gt;$B9)*(ROW($A$3:$A$62)&lt;&gt;ROW())*((($G$3:$G$62=H9)+($H$3:$H$62=H9)+($I$3:$I$62=H9)+($J$3:$J$62=H9))&gt;0))&gt;0),"RED: "&amp;H9&amp;" bentrok meeting. ","")&amp;IF(AND(H9&lt;&gt;"",NOT(SUMPRODUCT(($A$3:$A$62=$A9)*($B$3:$B$62&lt;$C9)*($C$3:$C$62&gt;$B9)*(ROW($A$3:$A$62)&lt;&gt;ROW())*((($G$3:$G$62=H9)+($H$3:$H$62=H9)+($I$3:$I$62=H9)+($J$3:$J$62=H9))&gt;0))&gt;0),COUNTIFS('Work Activity'!$C$3:$C$89,$A9,'Work Activity'!$G$3:$G$89,H9,'Work Activity'!$A$3:$A$89,"&lt;&gt;"&amp;$D9)&gt;0),"YELLOW: "&amp;H9&amp;" punya deadline project lain pada tanggal yang sama. ","")&amp;IF(AND(I9&lt;&gt;"",SUMPRODUCT(($A$3:$A$62=$A9)*($B$3:$B$62&lt;$C9)*($C$3:$C$62&gt;$B9)*(ROW($A$3:$A$62)&lt;&gt;ROW())*((($G$3:$G$62=I9)+($H$3:$H$62=I9)+($I$3:$I$62=I9)+($J$3:$J$62=I9))&gt;0))&gt;0),"RED: "&amp;I9&amp;" bentrok meeting. ","")&amp;IF(AND(I9&lt;&gt;"",NOT(SUMPRODUCT(($A$3:$A$62=$A9)*($B$3:$B$62&lt;$C9)*($C$3:$C$62&gt;$B9)*(ROW($A$3:$A$62)&lt;&gt;ROW())*((($G$3:$G$62=I9)+($H$3:$H$62=I9)+($I$3:$I$62=I9)+($J$3:$J$62=I9))&gt;0))&gt;0),COUNTIFS('Work Activity'!$C$3:$C$89,$A9,'Work Activity'!$G$3:$G$89,I9,'Work Activity'!$A$3:$A$89,"&lt;&gt;"&amp;$D9)&gt;0),"YELLOW: "&amp;I9&amp;" punya deadline project lain pada tanggal yang sama. ","")&amp;IF(AND(J9&lt;&gt;"",SUMPRODUCT(($A$3:$A$62=$A9)*($B$3:$B$62&lt;$C9)*($C$3:$C$62&gt;$B9)*(ROW($A$3:$A$62)&lt;&gt;ROW())*((($G$3:$G$62=J9)+($H$3:$H$62=J9)+($I$3:$I$62=J9)+($J$3:$J$62=J9))&gt;0))&gt;0),"RED: "&amp;J9&amp;" bentrok meeting. ","")&amp;IF(AND(J9&lt;&gt;"",NOT(SUMPRODUCT(($A$3:$A$62=$A9)*($B$3:$B$62&lt;$C9)*($C$3:$C$62&gt;$B9)*(ROW($A$3:$A$62)&lt;&gt;ROW())*((($G$3:$G$62=J9)+($H$3:$H$62=J9)+($I$3:$I$62=J9)+($J$3:$J$62=J9))&gt;0))&gt;0),COUNTIFS('Work Activity'!$C$3:$C$89,$A9,'Work Activity'!$G$3:$G$89,J9,'Work Activity'!$A$3:$A$89,"&lt;&gt;"&amp;$D9)&gt;0),"YELLOW: "&amp;J9&amp;" punya deadline project lain pada tanggal yang sama. ",""))</f>
        <v/>
      </c>
      <c r="N9"/>
      <c r="O9" t="str">
        <f t="shared" si="0"/>
        <v/>
      </c>
      <c r="P9" t="str">
        <f ca="1">IFERROR(INDEX('Staff Allocation'!$C$3:$C$62,_xludf.AGGREGATE(15,6,(ROW('Staff Allocation'!$C$3:$C$62)-ROW('Staff Allocation'!$C$3)+1)/(('Staff Allocation'!$A$3:$A$62=P$1)*('Staff Allocation'!$C$3:$C$62&lt;&gt;"")),ROWS(P$2:P9))),"")</f>
        <v/>
      </c>
      <c r="Q9" t="str">
        <f ca="1">IFERROR(INDEX('Staff Allocation'!$C$3:$C$62,_xludf.AGGREGATE(15,6,(ROW('Staff Allocation'!$C$3:$C$62)-ROW('Staff Allocation'!$C$3)+1)/(('Staff Allocation'!$A$3:$A$62=Q$1)*('Staff Allocation'!$C$3:$C$62&lt;&gt;"")),ROWS(Q$2:Q9))),"")</f>
        <v/>
      </c>
      <c r="R9" t="str">
        <f ca="1">IFERROR(INDEX('Staff Allocation'!$C$3:$C$62,_xludf.AGGREGATE(15,6,(ROW('Staff Allocation'!$C$3:$C$62)-ROW('Staff Allocation'!$C$3)+1)/(('Staff Allocation'!$A$3:$A$62=R$1)*('Staff Allocation'!$C$3:$C$62&lt;&gt;"")),ROWS(R$2:R9))),"")</f>
        <v/>
      </c>
      <c r="S9" t="str">
        <f ca="1">IFERROR(INDEX('Staff Allocation'!$C$3:$C$62,_xludf.AGGREGATE(15,6,(ROW('Staff Allocation'!$C$3:$C$62)-ROW('Staff Allocation'!$C$3)+1)/(('Staff Allocation'!$A$3:$A$62=S$1)*('Staff Allocation'!$C$3:$C$62&lt;&gt;"")),ROWS(S$2:S9))),"")</f>
        <v/>
      </c>
      <c r="T9" t="str">
        <f ca="1">IFERROR(INDEX('Staff Allocation'!$C$3:$C$62,_xludf.AGGREGATE(15,6,(ROW('Staff Allocation'!$C$3:$C$62)-ROW('Staff Allocation'!$C$3)+1)/(('Staff Allocation'!$A$3:$A$62=T$1)*('Staff Allocation'!$C$3:$C$62&lt;&gt;"")),ROWS(T$2:T9))),"")</f>
        <v/>
      </c>
      <c r="U9" t="str">
        <f ca="1">IFERROR(INDEX('Staff Allocation'!$C$3:$C$62,_xludf.AGGREGATE(15,6,(ROW('Staff Allocation'!$C$3:$C$62)-ROW('Staff Allocation'!$C$3)+1)/(('Staff Allocation'!$A$3:$A$62=U$1)*('Staff Allocation'!$C$3:$C$62&lt;&gt;"")),ROWS(U$2:U9))),"")</f>
        <v/>
      </c>
      <c r="V9" t="str">
        <f ca="1">IFERROR(INDEX('Staff Allocation'!$C$3:$C$62,_xludf.AGGREGATE(15,6,(ROW('Staff Allocation'!$C$3:$C$62)-ROW('Staff Allocation'!$C$3)+1)/(('Staff Allocation'!$A$3:$A$62=V$1)*('Staff Allocation'!$C$3:$C$62&lt;&gt;"")),ROWS(V$2:V9))),"")</f>
        <v/>
      </c>
      <c r="W9" t="str">
        <f ca="1">IFERROR(INDEX('Staff Allocation'!$C$3:$C$62,_xludf.AGGREGATE(15,6,(ROW('Staff Allocation'!$C$3:$C$62)-ROW('Staff Allocation'!$C$3)+1)/(('Staff Allocation'!$A$3:$A$62=W$1)*('Staff Allocation'!$C$3:$C$62&lt;&gt;"")),ROWS(W$2:W9))),"")</f>
        <v/>
      </c>
      <c r="X9" t="str">
        <f ca="1">IFERROR(INDEX('Staff Allocation'!$C$3:$C$62,_xludf.AGGREGATE(15,6,(ROW('Staff Allocation'!$C$3:$C$62)-ROW('Staff Allocation'!$C$3)+1)/(('Staff Allocation'!$A$3:$A$62=X$1)*('Staff Allocation'!$C$3:$C$62&lt;&gt;"")),ROWS(X$2:X9))),"")</f>
        <v/>
      </c>
      <c r="Y9" t="str">
        <f ca="1">IFERROR(INDEX('Staff Allocation'!$C$3:$C$62,_xludf.AGGREGATE(15,6,(ROW('Staff Allocation'!$C$3:$C$62)-ROW('Staff Allocation'!$C$3)+1)/(('Staff Allocation'!$A$3:$A$62=Y$1)*('Staff Allocation'!$C$3:$C$62&lt;&gt;"")),ROWS(Y$2:Y9))),"")</f>
        <v/>
      </c>
      <c r="Z9" t="str">
        <f ca="1">IFERROR(INDEX('Staff Allocation'!$C$3:$C$62,_xludf.AGGREGATE(15,6,(ROW('Staff Allocation'!$C$3:$C$62)-ROW('Staff Allocation'!$C$3)+1)/(('Staff Allocation'!$A$3:$A$62=Z$1)*('Staff Allocation'!$C$3:$C$62&lt;&gt;"")),ROWS(Z$2:Z9))),"")</f>
        <v/>
      </c>
      <c r="AA9" t="str">
        <f ca="1">IFERROR(INDEX('Staff Allocation'!$C$3:$C$62,_xludf.AGGREGATE(15,6,(ROW('Staff Allocation'!$C$3:$C$62)-ROW('Staff Allocation'!$C$3)+1)/(('Staff Allocation'!$A$3:$A$62=AA$1)*('Staff Allocation'!$C$3:$C$62&lt;&gt;"")),ROWS(AA$2:AA9))),"")</f>
        <v/>
      </c>
      <c r="AB9" t="str">
        <f ca="1">IFERROR(INDEX('Staff Allocation'!$C$3:$C$62,_xludf.AGGREGATE(15,6,(ROW('Staff Allocation'!$C$3:$C$62)-ROW('Staff Allocation'!$C$3)+1)/(('Staff Allocation'!$A$3:$A$62=AB$1)*('Staff Allocation'!$C$3:$C$62&lt;&gt;"")),ROWS(AB$2:AB9))),"")</f>
        <v/>
      </c>
      <c r="AC9" t="str">
        <f ca="1">IFERROR(INDEX('Staff Allocation'!$C$3:$C$62,_xludf.AGGREGATE(15,6,(ROW('Staff Allocation'!$C$3:$C$62)-ROW('Staff Allocation'!$C$3)+1)/(('Staff Allocation'!$A$3:$A$62=AC$1)*('Staff Allocation'!$C$3:$C$62&lt;&gt;"")),ROWS(AC$2:AC9))),"")</f>
        <v/>
      </c>
      <c r="AD9" t="str">
        <f ca="1">IFERROR(INDEX('Staff Allocation'!$C$3:$C$62,_xludf.AGGREGATE(15,6,(ROW('Staff Allocation'!$C$3:$C$62)-ROW('Staff Allocation'!$C$3)+1)/(('Staff Allocation'!$A$3:$A$62=AD$1)*('Staff Allocation'!$C$3:$C$62&lt;&gt;"")),ROWS(AD$2:AD9))),"")</f>
        <v/>
      </c>
    </row>
    <row r="10" spans="1:30">
      <c r="A10" s="9"/>
      <c r="B10" s="12"/>
      <c r="C10" s="12"/>
      <c r="D10"/>
      <c r="E10"/>
      <c r="F10"/>
      <c r="G10"/>
      <c r="H10"/>
      <c r="I10"/>
      <c r="K10"/>
      <c r="L10" t="str">
        <f>IF(OR(AND(G10&lt;&gt;"",SUMPRODUCT(($A$3:$A$62=$A10)*($B$3:$B$62&lt;$C10)*($C$3:$C$62&gt;$B10)*(ROW($A$3:$A$62)&lt;&gt;ROW())*((($G$3:$G$62=G10)+($H$3:$H$62=G10)+($I$3:$I$62=G10)+($J$3:$J$62=G10))&gt;0))&gt;0),AND(H10&lt;&gt;"",SUMPRODUCT(($A$3:$A$62=$A10)*($B$3:$B$62&lt;$C10)*($C$3:$C$62&gt;$B10)*(ROW($A$3:$A$62)&lt;&gt;ROW())*((($G$3:$G$62=H10)+($H$3:$H$62=H10)+($I$3:$I$62=H10)+($J$3:$J$62=H10))&gt;0))&gt;0),AND(I10&lt;&gt;"",SUMPRODUCT(($A$3:$A$62=$A10)*($B$3:$B$62&lt;$C10)*($C$3:$C$62&gt;$B10)*(ROW($A$3:$A$62)&lt;&gt;ROW())*((($G$3:$G$62=I10)+($H$3:$H$62=I10)+($I$3:$I$62=I10)+($J$3:$J$62=I10))&gt;0))&gt;0),AND(J10&lt;&gt;"",SUMPRODUCT(($A$3:$A$62=$A10)*($B$3:$B$62&lt;$C10)*($C$3:$C$62&gt;$B10)*(ROW($A$3:$A$62)&lt;&gt;ROW())*((($G$3:$G$62=J10)+($H$3:$H$62=J10)+($I$3:$I$62=J10)+($J$3:$J$62=J10))&gt;0))&gt;0)),"RED - MEETING CLASH",IF(OR(AND(G10&lt;&gt;"",COUNTIFS('Work Activity'!$C$3:$C$89,$A10,'Work Activity'!$G$3:$G$89,G10,'Work Activity'!$A$3:$A$89,"&lt;&gt;"&amp;$D10)&gt;0),AND(H10&lt;&gt;"",COUNTIFS('Work Activity'!$C$3:$C$89,$A10,'Work Activity'!$G$3:$G$89,H10,'Work Activity'!$A$3:$A$89,"&lt;&gt;"&amp;$D10)&gt;0),AND(I10&lt;&gt;"",COUNTIFS('Work Activity'!$C$3:$C$89,$A10,'Work Activity'!$G$3:$G$89,I10,'Work Activity'!$A$3:$A$89,"&lt;&gt;"&amp;$D10)&gt;0),AND(J10&lt;&gt;"",COUNTIFS('Work Activity'!$C$3:$C$89,$A10,'Work Activity'!$G$3:$G$89,J10,'Work Activity'!$A$3:$A$89,"&lt;&gt;"&amp;$D10)&gt;0)),"YELLOW - DEADLINE CHECK","CLEAR"))</f>
        <v>CLEAR</v>
      </c>
      <c r="M10" t="str">
        <f>TRIM(IF(AND(G10&lt;&gt;"",SUMPRODUCT(($A$3:$A$62=$A10)*($B$3:$B$62&lt;$C10)*($C$3:$C$62&gt;$B10)*(ROW($A$3:$A$62)&lt;&gt;ROW())*((($G$3:$G$62=G10)+($H$3:$H$62=G10)+($I$3:$I$62=G10)+($J$3:$J$62=G10))&gt;0))&gt;0),"RED: "&amp;G10&amp;" bentrok meeting. ","")&amp;IF(AND(G10&lt;&gt;"",NOT(SUMPRODUCT(($A$3:$A$62=$A10)*($B$3:$B$62&lt;$C10)*($C$3:$C$62&gt;$B10)*(ROW($A$3:$A$62)&lt;&gt;ROW())*((($G$3:$G$62=G10)+($H$3:$H$62=G10)+($I$3:$I$62=G10)+($J$3:$J$62=G10))&gt;0))&gt;0),COUNTIFS('Work Activity'!$C$3:$C$89,$A10,'Work Activity'!$G$3:$G$89,G10,'Work Activity'!$A$3:$A$89,"&lt;&gt;"&amp;$D10)&gt;0),"YELLOW: "&amp;G10&amp;" punya deadline project lain pada tanggal yang sama. ","")&amp;IF(AND(H10&lt;&gt;"",SUMPRODUCT(($A$3:$A$62=$A10)*($B$3:$B$62&lt;$C10)*($C$3:$C$62&gt;$B10)*(ROW($A$3:$A$62)&lt;&gt;ROW())*((($G$3:$G$62=H10)+($H$3:$H$62=H10)+($I$3:$I$62=H10)+($J$3:$J$62=H10))&gt;0))&gt;0),"RED: "&amp;H10&amp;" bentrok meeting. ","")&amp;IF(AND(H10&lt;&gt;"",NOT(SUMPRODUCT(($A$3:$A$62=$A10)*($B$3:$B$62&lt;$C10)*($C$3:$C$62&gt;$B10)*(ROW($A$3:$A$62)&lt;&gt;ROW())*((($G$3:$G$62=H10)+($H$3:$H$62=H10)+($I$3:$I$62=H10)+($J$3:$J$62=H10))&gt;0))&gt;0),COUNTIFS('Work Activity'!$C$3:$C$89,$A10,'Work Activity'!$G$3:$G$89,H10,'Work Activity'!$A$3:$A$89,"&lt;&gt;"&amp;$D10)&gt;0),"YELLOW: "&amp;H10&amp;" punya deadline project lain pada tanggal yang sama. ","")&amp;IF(AND(I10&lt;&gt;"",SUMPRODUCT(($A$3:$A$62=$A10)*($B$3:$B$62&lt;$C10)*($C$3:$C$62&gt;$B10)*(ROW($A$3:$A$62)&lt;&gt;ROW())*((($G$3:$G$62=I10)+($H$3:$H$62=I10)+($I$3:$I$62=I10)+($J$3:$J$62=I10))&gt;0))&gt;0),"RED: "&amp;I10&amp;" bentrok meeting. ","")&amp;IF(AND(I10&lt;&gt;"",NOT(SUMPRODUCT(($A$3:$A$62=$A10)*($B$3:$B$62&lt;$C10)*($C$3:$C$62&gt;$B10)*(ROW($A$3:$A$62)&lt;&gt;ROW())*((($G$3:$G$62=I10)+($H$3:$H$62=I10)+($I$3:$I$62=I10)+($J$3:$J$62=I10))&gt;0))&gt;0),COUNTIFS('Work Activity'!$C$3:$C$89,$A10,'Work Activity'!$G$3:$G$89,I10,'Work Activity'!$A$3:$A$89,"&lt;&gt;"&amp;$D10)&gt;0),"YELLOW: "&amp;I10&amp;" punya deadline project lain pada tanggal yang sama. ","")&amp;IF(AND(J10&lt;&gt;"",SUMPRODUCT(($A$3:$A$62=$A10)*($B$3:$B$62&lt;$C10)*($C$3:$C$62&gt;$B10)*(ROW($A$3:$A$62)&lt;&gt;ROW())*((($G$3:$G$62=J10)+($H$3:$H$62=J10)+($I$3:$I$62=J10)+($J$3:$J$62=J10))&gt;0))&gt;0),"RED: "&amp;J10&amp;" bentrok meeting. ","")&amp;IF(AND(J10&lt;&gt;"",NOT(SUMPRODUCT(($A$3:$A$62=$A10)*($B$3:$B$62&lt;$C10)*($C$3:$C$62&gt;$B10)*(ROW($A$3:$A$62)&lt;&gt;ROW())*((($G$3:$G$62=J10)+($H$3:$H$62=J10)+($I$3:$I$62=J10)+($J$3:$J$62=J10))&gt;0))&gt;0),COUNTIFS('Work Activity'!$C$3:$C$89,$A10,'Work Activity'!$G$3:$G$89,J10,'Work Activity'!$A$3:$A$89,"&lt;&gt;"&amp;$D10)&gt;0),"YELLOW: "&amp;J10&amp;" punya deadline project lain pada tanggal yang sama. ",""))</f>
        <v/>
      </c>
      <c r="N10"/>
      <c r="O10" t="str">
        <f t="shared" si="0"/>
        <v/>
      </c>
      <c r="P10" t="str">
        <f ca="1">IFERROR(INDEX('Staff Allocation'!$C$3:$C$62,_xludf.AGGREGATE(15,6,(ROW('Staff Allocation'!$C$3:$C$62)-ROW('Staff Allocation'!$C$3)+1)/(('Staff Allocation'!$A$3:$A$62=P$1)*('Staff Allocation'!$C$3:$C$62&lt;&gt;"")),ROWS(P$2:P10))),"")</f>
        <v/>
      </c>
      <c r="Q10" t="str">
        <f ca="1">IFERROR(INDEX('Staff Allocation'!$C$3:$C$62,_xludf.AGGREGATE(15,6,(ROW('Staff Allocation'!$C$3:$C$62)-ROW('Staff Allocation'!$C$3)+1)/(('Staff Allocation'!$A$3:$A$62=Q$1)*('Staff Allocation'!$C$3:$C$62&lt;&gt;"")),ROWS(Q$2:Q10))),"")</f>
        <v/>
      </c>
      <c r="R10" t="str">
        <f ca="1">IFERROR(INDEX('Staff Allocation'!$C$3:$C$62,_xludf.AGGREGATE(15,6,(ROW('Staff Allocation'!$C$3:$C$62)-ROW('Staff Allocation'!$C$3)+1)/(('Staff Allocation'!$A$3:$A$62=R$1)*('Staff Allocation'!$C$3:$C$62&lt;&gt;"")),ROWS(R$2:R10))),"")</f>
        <v/>
      </c>
      <c r="S10" t="str">
        <f ca="1">IFERROR(INDEX('Staff Allocation'!$C$3:$C$62,_xludf.AGGREGATE(15,6,(ROW('Staff Allocation'!$C$3:$C$62)-ROW('Staff Allocation'!$C$3)+1)/(('Staff Allocation'!$A$3:$A$62=S$1)*('Staff Allocation'!$C$3:$C$62&lt;&gt;"")),ROWS(S$2:S10))),"")</f>
        <v/>
      </c>
      <c r="T10" t="str">
        <f ca="1">IFERROR(INDEX('Staff Allocation'!$C$3:$C$62,_xludf.AGGREGATE(15,6,(ROW('Staff Allocation'!$C$3:$C$62)-ROW('Staff Allocation'!$C$3)+1)/(('Staff Allocation'!$A$3:$A$62=T$1)*('Staff Allocation'!$C$3:$C$62&lt;&gt;"")),ROWS(T$2:T10))),"")</f>
        <v/>
      </c>
      <c r="U10" t="str">
        <f ca="1">IFERROR(INDEX('Staff Allocation'!$C$3:$C$62,_xludf.AGGREGATE(15,6,(ROW('Staff Allocation'!$C$3:$C$62)-ROW('Staff Allocation'!$C$3)+1)/(('Staff Allocation'!$A$3:$A$62=U$1)*('Staff Allocation'!$C$3:$C$62&lt;&gt;"")),ROWS(U$2:U10))),"")</f>
        <v/>
      </c>
      <c r="V10" t="str">
        <f ca="1">IFERROR(INDEX('Staff Allocation'!$C$3:$C$62,_xludf.AGGREGATE(15,6,(ROW('Staff Allocation'!$C$3:$C$62)-ROW('Staff Allocation'!$C$3)+1)/(('Staff Allocation'!$A$3:$A$62=V$1)*('Staff Allocation'!$C$3:$C$62&lt;&gt;"")),ROWS(V$2:V10))),"")</f>
        <v/>
      </c>
      <c r="W10" t="str">
        <f ca="1">IFERROR(INDEX('Staff Allocation'!$C$3:$C$62,_xludf.AGGREGATE(15,6,(ROW('Staff Allocation'!$C$3:$C$62)-ROW('Staff Allocation'!$C$3)+1)/(('Staff Allocation'!$A$3:$A$62=W$1)*('Staff Allocation'!$C$3:$C$62&lt;&gt;"")),ROWS(W$2:W10))),"")</f>
        <v/>
      </c>
      <c r="X10" t="str">
        <f ca="1">IFERROR(INDEX('Staff Allocation'!$C$3:$C$62,_xludf.AGGREGATE(15,6,(ROW('Staff Allocation'!$C$3:$C$62)-ROW('Staff Allocation'!$C$3)+1)/(('Staff Allocation'!$A$3:$A$62=X$1)*('Staff Allocation'!$C$3:$C$62&lt;&gt;"")),ROWS(X$2:X10))),"")</f>
        <v/>
      </c>
      <c r="Y10" t="str">
        <f ca="1">IFERROR(INDEX('Staff Allocation'!$C$3:$C$62,_xludf.AGGREGATE(15,6,(ROW('Staff Allocation'!$C$3:$C$62)-ROW('Staff Allocation'!$C$3)+1)/(('Staff Allocation'!$A$3:$A$62=Y$1)*('Staff Allocation'!$C$3:$C$62&lt;&gt;"")),ROWS(Y$2:Y10))),"")</f>
        <v/>
      </c>
      <c r="Z10" t="str">
        <f ca="1">IFERROR(INDEX('Staff Allocation'!$C$3:$C$62,_xludf.AGGREGATE(15,6,(ROW('Staff Allocation'!$C$3:$C$62)-ROW('Staff Allocation'!$C$3)+1)/(('Staff Allocation'!$A$3:$A$62=Z$1)*('Staff Allocation'!$C$3:$C$62&lt;&gt;"")),ROWS(Z$2:Z10))),"")</f>
        <v/>
      </c>
      <c r="AA10" t="str">
        <f ca="1">IFERROR(INDEX('Staff Allocation'!$C$3:$C$62,_xludf.AGGREGATE(15,6,(ROW('Staff Allocation'!$C$3:$C$62)-ROW('Staff Allocation'!$C$3)+1)/(('Staff Allocation'!$A$3:$A$62=AA$1)*('Staff Allocation'!$C$3:$C$62&lt;&gt;"")),ROWS(AA$2:AA10))),"")</f>
        <v/>
      </c>
      <c r="AB10" t="str">
        <f ca="1">IFERROR(INDEX('Staff Allocation'!$C$3:$C$62,_xludf.AGGREGATE(15,6,(ROW('Staff Allocation'!$C$3:$C$62)-ROW('Staff Allocation'!$C$3)+1)/(('Staff Allocation'!$A$3:$A$62=AB$1)*('Staff Allocation'!$C$3:$C$62&lt;&gt;"")),ROWS(AB$2:AB10))),"")</f>
        <v/>
      </c>
      <c r="AC10" t="str">
        <f ca="1">IFERROR(INDEX('Staff Allocation'!$C$3:$C$62,_xludf.AGGREGATE(15,6,(ROW('Staff Allocation'!$C$3:$C$62)-ROW('Staff Allocation'!$C$3)+1)/(('Staff Allocation'!$A$3:$A$62=AC$1)*('Staff Allocation'!$C$3:$C$62&lt;&gt;"")),ROWS(AC$2:AC10))),"")</f>
        <v/>
      </c>
      <c r="AD10" t="str">
        <f ca="1">IFERROR(INDEX('Staff Allocation'!$C$3:$C$62,_xludf.AGGREGATE(15,6,(ROW('Staff Allocation'!$C$3:$C$62)-ROW('Staff Allocation'!$C$3)+1)/(('Staff Allocation'!$A$3:$A$62=AD$1)*('Staff Allocation'!$C$3:$C$62&lt;&gt;"")),ROWS(AD$2:AD10))),"")</f>
        <v/>
      </c>
    </row>
    <row r="11" spans="1:30">
      <c r="A11" s="9"/>
      <c r="B11" s="12"/>
      <c r="C11" s="12"/>
      <c r="D11"/>
      <c r="E11"/>
      <c r="F11"/>
      <c r="G11"/>
      <c r="H11"/>
      <c r="I11"/>
      <c r="K11"/>
      <c r="L11" t="str">
        <f>IF(OR(AND(G11&lt;&gt;"",SUMPRODUCT(($A$3:$A$62=$A11)*($B$3:$B$62&lt;$C11)*($C$3:$C$62&gt;$B11)*(ROW($A$3:$A$62)&lt;&gt;ROW())*((($G$3:$G$62=G11)+($H$3:$H$62=G11)+($I$3:$I$62=G11)+($J$3:$J$62=G11))&gt;0))&gt;0),AND(H11&lt;&gt;"",SUMPRODUCT(($A$3:$A$62=$A11)*($B$3:$B$62&lt;$C11)*($C$3:$C$62&gt;$B11)*(ROW($A$3:$A$62)&lt;&gt;ROW())*((($G$3:$G$62=H11)+($H$3:$H$62=H11)+($I$3:$I$62=H11)+($J$3:$J$62=H11))&gt;0))&gt;0),AND(I11&lt;&gt;"",SUMPRODUCT(($A$3:$A$62=$A11)*($B$3:$B$62&lt;$C11)*($C$3:$C$62&gt;$B11)*(ROW($A$3:$A$62)&lt;&gt;ROW())*((($G$3:$G$62=I11)+($H$3:$H$62=I11)+($I$3:$I$62=I11)+($J$3:$J$62=I11))&gt;0))&gt;0),AND(J11&lt;&gt;"",SUMPRODUCT(($A$3:$A$62=$A11)*($B$3:$B$62&lt;$C11)*($C$3:$C$62&gt;$B11)*(ROW($A$3:$A$62)&lt;&gt;ROW())*((($G$3:$G$62=J11)+($H$3:$H$62=J11)+($I$3:$I$62=J11)+($J$3:$J$62=J11))&gt;0))&gt;0)),"RED - MEETING CLASH",IF(OR(AND(G11&lt;&gt;"",COUNTIFS('Work Activity'!$C$3:$C$89,$A11,'Work Activity'!$G$3:$G$89,G11,'Work Activity'!$A$3:$A$89,"&lt;&gt;"&amp;$D11)&gt;0),AND(H11&lt;&gt;"",COUNTIFS('Work Activity'!$C$3:$C$89,$A11,'Work Activity'!$G$3:$G$89,H11,'Work Activity'!$A$3:$A$89,"&lt;&gt;"&amp;$D11)&gt;0),AND(I11&lt;&gt;"",COUNTIFS('Work Activity'!$C$3:$C$89,$A11,'Work Activity'!$G$3:$G$89,I11,'Work Activity'!$A$3:$A$89,"&lt;&gt;"&amp;$D11)&gt;0),AND(J11&lt;&gt;"",COUNTIFS('Work Activity'!$C$3:$C$89,$A11,'Work Activity'!$G$3:$G$89,J11,'Work Activity'!$A$3:$A$89,"&lt;&gt;"&amp;$D11)&gt;0)),"YELLOW - DEADLINE CHECK","CLEAR"))</f>
        <v>CLEAR</v>
      </c>
      <c r="M11" t="str">
        <f>TRIM(IF(AND(G11&lt;&gt;"",SUMPRODUCT(($A$3:$A$62=$A11)*($B$3:$B$62&lt;$C11)*($C$3:$C$62&gt;$B11)*(ROW($A$3:$A$62)&lt;&gt;ROW())*((($G$3:$G$62=G11)+($H$3:$H$62=G11)+($I$3:$I$62=G11)+($J$3:$J$62=G11))&gt;0))&gt;0),"RED: "&amp;G11&amp;" bentrok meeting. ","")&amp;IF(AND(G11&lt;&gt;"",NOT(SUMPRODUCT(($A$3:$A$62=$A11)*($B$3:$B$62&lt;$C11)*($C$3:$C$62&gt;$B11)*(ROW($A$3:$A$62)&lt;&gt;ROW())*((($G$3:$G$62=G11)+($H$3:$H$62=G11)+($I$3:$I$62=G11)+($J$3:$J$62=G11))&gt;0))&gt;0),COUNTIFS('Work Activity'!$C$3:$C$89,$A11,'Work Activity'!$G$3:$G$89,G11,'Work Activity'!$A$3:$A$89,"&lt;&gt;"&amp;$D11)&gt;0),"YELLOW: "&amp;G11&amp;" punya deadline project lain pada tanggal yang sama. ","")&amp;IF(AND(H11&lt;&gt;"",SUMPRODUCT(($A$3:$A$62=$A11)*($B$3:$B$62&lt;$C11)*($C$3:$C$62&gt;$B11)*(ROW($A$3:$A$62)&lt;&gt;ROW())*((($G$3:$G$62=H11)+($H$3:$H$62=H11)+($I$3:$I$62=H11)+($J$3:$J$62=H11))&gt;0))&gt;0),"RED: "&amp;H11&amp;" bentrok meeting. ","")&amp;IF(AND(H11&lt;&gt;"",NOT(SUMPRODUCT(($A$3:$A$62=$A11)*($B$3:$B$62&lt;$C11)*($C$3:$C$62&gt;$B11)*(ROW($A$3:$A$62)&lt;&gt;ROW())*((($G$3:$G$62=H11)+($H$3:$H$62=H11)+($I$3:$I$62=H11)+($J$3:$J$62=H11))&gt;0))&gt;0),COUNTIFS('Work Activity'!$C$3:$C$89,$A11,'Work Activity'!$G$3:$G$89,H11,'Work Activity'!$A$3:$A$89,"&lt;&gt;"&amp;$D11)&gt;0),"YELLOW: "&amp;H11&amp;" punya deadline project lain pada tanggal yang sama. ","")&amp;IF(AND(I11&lt;&gt;"",SUMPRODUCT(($A$3:$A$62=$A11)*($B$3:$B$62&lt;$C11)*($C$3:$C$62&gt;$B11)*(ROW($A$3:$A$62)&lt;&gt;ROW())*((($G$3:$G$62=I11)+($H$3:$H$62=I11)+($I$3:$I$62=I11)+($J$3:$J$62=I11))&gt;0))&gt;0),"RED: "&amp;I11&amp;" bentrok meeting. ","")&amp;IF(AND(I11&lt;&gt;"",NOT(SUMPRODUCT(($A$3:$A$62=$A11)*($B$3:$B$62&lt;$C11)*($C$3:$C$62&gt;$B11)*(ROW($A$3:$A$62)&lt;&gt;ROW())*((($G$3:$G$62=I11)+($H$3:$H$62=I11)+($I$3:$I$62=I11)+($J$3:$J$62=I11))&gt;0))&gt;0),COUNTIFS('Work Activity'!$C$3:$C$89,$A11,'Work Activity'!$G$3:$G$89,I11,'Work Activity'!$A$3:$A$89,"&lt;&gt;"&amp;$D11)&gt;0),"YELLOW: "&amp;I11&amp;" punya deadline project lain pada tanggal yang sama. ","")&amp;IF(AND(J11&lt;&gt;"",SUMPRODUCT(($A$3:$A$62=$A11)*($B$3:$B$62&lt;$C11)*($C$3:$C$62&gt;$B11)*(ROW($A$3:$A$62)&lt;&gt;ROW())*((($G$3:$G$62=J11)+($H$3:$H$62=J11)+($I$3:$I$62=J11)+($J$3:$J$62=J11))&gt;0))&gt;0),"RED: "&amp;J11&amp;" bentrok meeting. ","")&amp;IF(AND(J11&lt;&gt;"",NOT(SUMPRODUCT(($A$3:$A$62=$A11)*($B$3:$B$62&lt;$C11)*($C$3:$C$62&gt;$B11)*(ROW($A$3:$A$62)&lt;&gt;ROW())*((($G$3:$G$62=J11)+($H$3:$H$62=J11)+($I$3:$I$62=J11)+($J$3:$J$62=J11))&gt;0))&gt;0),COUNTIFS('Work Activity'!$C$3:$C$89,$A11,'Work Activity'!$G$3:$G$89,J11,'Work Activity'!$A$3:$A$89,"&lt;&gt;"&amp;$D11)&gt;0),"YELLOW: "&amp;J11&amp;" punya deadline project lain pada tanggal yang sama. ",""))</f>
        <v/>
      </c>
      <c r="N11"/>
      <c r="O11" t="str">
        <f t="shared" si="0"/>
        <v/>
      </c>
      <c r="P11" t="str">
        <f ca="1">IFERROR(INDEX('Staff Allocation'!$C$3:$C$62,_xludf.AGGREGATE(15,6,(ROW('Staff Allocation'!$C$3:$C$62)-ROW('Staff Allocation'!$C$3)+1)/(('Staff Allocation'!$A$3:$A$62=P$1)*('Staff Allocation'!$C$3:$C$62&lt;&gt;"")),ROWS(P$2:P11))),"")</f>
        <v/>
      </c>
      <c r="Q11" t="str">
        <f ca="1">IFERROR(INDEX('Staff Allocation'!$C$3:$C$62,_xludf.AGGREGATE(15,6,(ROW('Staff Allocation'!$C$3:$C$62)-ROW('Staff Allocation'!$C$3)+1)/(('Staff Allocation'!$A$3:$A$62=Q$1)*('Staff Allocation'!$C$3:$C$62&lt;&gt;"")),ROWS(Q$2:Q11))),"")</f>
        <v/>
      </c>
      <c r="R11" t="str">
        <f ca="1">IFERROR(INDEX('Staff Allocation'!$C$3:$C$62,_xludf.AGGREGATE(15,6,(ROW('Staff Allocation'!$C$3:$C$62)-ROW('Staff Allocation'!$C$3)+1)/(('Staff Allocation'!$A$3:$A$62=R$1)*('Staff Allocation'!$C$3:$C$62&lt;&gt;"")),ROWS(R$2:R11))),"")</f>
        <v/>
      </c>
      <c r="S11" t="str">
        <f ca="1">IFERROR(INDEX('Staff Allocation'!$C$3:$C$62,_xludf.AGGREGATE(15,6,(ROW('Staff Allocation'!$C$3:$C$62)-ROW('Staff Allocation'!$C$3)+1)/(('Staff Allocation'!$A$3:$A$62=S$1)*('Staff Allocation'!$C$3:$C$62&lt;&gt;"")),ROWS(S$2:S11))),"")</f>
        <v/>
      </c>
      <c r="T11" t="str">
        <f ca="1">IFERROR(INDEX('Staff Allocation'!$C$3:$C$62,_xludf.AGGREGATE(15,6,(ROW('Staff Allocation'!$C$3:$C$62)-ROW('Staff Allocation'!$C$3)+1)/(('Staff Allocation'!$A$3:$A$62=T$1)*('Staff Allocation'!$C$3:$C$62&lt;&gt;"")),ROWS(T$2:T11))),"")</f>
        <v/>
      </c>
      <c r="U11" t="str">
        <f ca="1">IFERROR(INDEX('Staff Allocation'!$C$3:$C$62,_xludf.AGGREGATE(15,6,(ROW('Staff Allocation'!$C$3:$C$62)-ROW('Staff Allocation'!$C$3)+1)/(('Staff Allocation'!$A$3:$A$62=U$1)*('Staff Allocation'!$C$3:$C$62&lt;&gt;"")),ROWS(U$2:U11))),"")</f>
        <v/>
      </c>
      <c r="V11" t="str">
        <f ca="1">IFERROR(INDEX('Staff Allocation'!$C$3:$C$62,_xludf.AGGREGATE(15,6,(ROW('Staff Allocation'!$C$3:$C$62)-ROW('Staff Allocation'!$C$3)+1)/(('Staff Allocation'!$A$3:$A$62=V$1)*('Staff Allocation'!$C$3:$C$62&lt;&gt;"")),ROWS(V$2:V11))),"")</f>
        <v/>
      </c>
      <c r="W11" t="str">
        <f ca="1">IFERROR(INDEX('Staff Allocation'!$C$3:$C$62,_xludf.AGGREGATE(15,6,(ROW('Staff Allocation'!$C$3:$C$62)-ROW('Staff Allocation'!$C$3)+1)/(('Staff Allocation'!$A$3:$A$62=W$1)*('Staff Allocation'!$C$3:$C$62&lt;&gt;"")),ROWS(W$2:W11))),"")</f>
        <v/>
      </c>
      <c r="X11" t="str">
        <f ca="1">IFERROR(INDEX('Staff Allocation'!$C$3:$C$62,_xludf.AGGREGATE(15,6,(ROW('Staff Allocation'!$C$3:$C$62)-ROW('Staff Allocation'!$C$3)+1)/(('Staff Allocation'!$A$3:$A$62=X$1)*('Staff Allocation'!$C$3:$C$62&lt;&gt;"")),ROWS(X$2:X11))),"")</f>
        <v/>
      </c>
      <c r="Y11" t="str">
        <f ca="1">IFERROR(INDEX('Staff Allocation'!$C$3:$C$62,_xludf.AGGREGATE(15,6,(ROW('Staff Allocation'!$C$3:$C$62)-ROW('Staff Allocation'!$C$3)+1)/(('Staff Allocation'!$A$3:$A$62=Y$1)*('Staff Allocation'!$C$3:$C$62&lt;&gt;"")),ROWS(Y$2:Y11))),"")</f>
        <v/>
      </c>
      <c r="Z11" t="str">
        <f ca="1">IFERROR(INDEX('Staff Allocation'!$C$3:$C$62,_xludf.AGGREGATE(15,6,(ROW('Staff Allocation'!$C$3:$C$62)-ROW('Staff Allocation'!$C$3)+1)/(('Staff Allocation'!$A$3:$A$62=Z$1)*('Staff Allocation'!$C$3:$C$62&lt;&gt;"")),ROWS(Z$2:Z11))),"")</f>
        <v/>
      </c>
      <c r="AA11" t="str">
        <f ca="1">IFERROR(INDEX('Staff Allocation'!$C$3:$C$62,_xludf.AGGREGATE(15,6,(ROW('Staff Allocation'!$C$3:$C$62)-ROW('Staff Allocation'!$C$3)+1)/(('Staff Allocation'!$A$3:$A$62=AA$1)*('Staff Allocation'!$C$3:$C$62&lt;&gt;"")),ROWS(AA$2:AA11))),"")</f>
        <v/>
      </c>
      <c r="AB11" t="str">
        <f ca="1">IFERROR(INDEX('Staff Allocation'!$C$3:$C$62,_xludf.AGGREGATE(15,6,(ROW('Staff Allocation'!$C$3:$C$62)-ROW('Staff Allocation'!$C$3)+1)/(('Staff Allocation'!$A$3:$A$62=AB$1)*('Staff Allocation'!$C$3:$C$62&lt;&gt;"")),ROWS(AB$2:AB11))),"")</f>
        <v/>
      </c>
      <c r="AC11" t="str">
        <f ca="1">IFERROR(INDEX('Staff Allocation'!$C$3:$C$62,_xludf.AGGREGATE(15,6,(ROW('Staff Allocation'!$C$3:$C$62)-ROW('Staff Allocation'!$C$3)+1)/(('Staff Allocation'!$A$3:$A$62=AC$1)*('Staff Allocation'!$C$3:$C$62&lt;&gt;"")),ROWS(AC$2:AC11))),"")</f>
        <v/>
      </c>
      <c r="AD11" t="str">
        <f ca="1">IFERROR(INDEX('Staff Allocation'!$C$3:$C$62,_xludf.AGGREGATE(15,6,(ROW('Staff Allocation'!$C$3:$C$62)-ROW('Staff Allocation'!$C$3)+1)/(('Staff Allocation'!$A$3:$A$62=AD$1)*('Staff Allocation'!$C$3:$C$62&lt;&gt;"")),ROWS(AD$2:AD11))),"")</f>
        <v/>
      </c>
    </row>
    <row r="12" spans="1:30">
      <c r="A12" s="9"/>
      <c r="B12" s="12"/>
      <c r="C12" s="12"/>
      <c r="D12"/>
      <c r="E12"/>
      <c r="F12"/>
      <c r="G12"/>
      <c r="H12"/>
      <c r="K12"/>
      <c r="L12" t="str">
        <f>IF(OR(AND(G12&lt;&gt;"",SUMPRODUCT(($A$3:$A$62=$A12)*($B$3:$B$62&lt;$C12)*($C$3:$C$62&gt;$B12)*(ROW($A$3:$A$62)&lt;&gt;ROW())*((($G$3:$G$62=G12)+($H$3:$H$62=G12)+($I$3:$I$62=G12)+($J$3:$J$62=G12))&gt;0))&gt;0),AND(H12&lt;&gt;"",SUMPRODUCT(($A$3:$A$62=$A12)*($B$3:$B$62&lt;$C12)*($C$3:$C$62&gt;$B12)*(ROW($A$3:$A$62)&lt;&gt;ROW())*((($G$3:$G$62=H12)+($H$3:$H$62=H12)+($I$3:$I$62=H12)+($J$3:$J$62=H12))&gt;0))&gt;0),AND(I12&lt;&gt;"",SUMPRODUCT(($A$3:$A$62=$A12)*($B$3:$B$62&lt;$C12)*($C$3:$C$62&gt;$B12)*(ROW($A$3:$A$62)&lt;&gt;ROW())*((($G$3:$G$62=I12)+($H$3:$H$62=I12)+($I$3:$I$62=I12)+($J$3:$J$62=I12))&gt;0))&gt;0),AND(J12&lt;&gt;"",SUMPRODUCT(($A$3:$A$62=$A12)*($B$3:$B$62&lt;$C12)*($C$3:$C$62&gt;$B12)*(ROW($A$3:$A$62)&lt;&gt;ROW())*((($G$3:$G$62=J12)+($H$3:$H$62=J12)+($I$3:$I$62=J12)+($J$3:$J$62=J12))&gt;0))&gt;0)),"RED - MEETING CLASH",IF(OR(AND(G12&lt;&gt;"",COUNTIFS('Work Activity'!$C$3:$C$89,$A12,'Work Activity'!$G$3:$G$89,G12,'Work Activity'!$A$3:$A$89,"&lt;&gt;"&amp;$D12)&gt;0),AND(H12&lt;&gt;"",COUNTIFS('Work Activity'!$C$3:$C$89,$A12,'Work Activity'!$G$3:$G$89,H12,'Work Activity'!$A$3:$A$89,"&lt;&gt;"&amp;$D12)&gt;0),AND(I12&lt;&gt;"",COUNTIFS('Work Activity'!$C$3:$C$89,$A12,'Work Activity'!$G$3:$G$89,I12,'Work Activity'!$A$3:$A$89,"&lt;&gt;"&amp;$D12)&gt;0),AND(J12&lt;&gt;"",COUNTIFS('Work Activity'!$C$3:$C$89,$A12,'Work Activity'!$G$3:$G$89,J12,'Work Activity'!$A$3:$A$89,"&lt;&gt;"&amp;$D12)&gt;0)),"YELLOW - DEADLINE CHECK","CLEAR"))</f>
        <v>CLEAR</v>
      </c>
      <c r="M12" t="str">
        <f>TRIM(IF(AND(G12&lt;&gt;"",SUMPRODUCT(($A$3:$A$62=$A12)*($B$3:$B$62&lt;$C12)*($C$3:$C$62&gt;$B12)*(ROW($A$3:$A$62)&lt;&gt;ROW())*((($G$3:$G$62=G12)+($H$3:$H$62=G12)+($I$3:$I$62=G12)+($J$3:$J$62=G12))&gt;0))&gt;0),"RED: "&amp;G12&amp;" bentrok meeting. ","")&amp;IF(AND(G12&lt;&gt;"",NOT(SUMPRODUCT(($A$3:$A$62=$A12)*($B$3:$B$62&lt;$C12)*($C$3:$C$62&gt;$B12)*(ROW($A$3:$A$62)&lt;&gt;ROW())*((($G$3:$G$62=G12)+($H$3:$H$62=G12)+($I$3:$I$62=G12)+($J$3:$J$62=G12))&gt;0))&gt;0),COUNTIFS('Work Activity'!$C$3:$C$89,$A12,'Work Activity'!$G$3:$G$89,G12,'Work Activity'!$A$3:$A$89,"&lt;&gt;"&amp;$D12)&gt;0),"YELLOW: "&amp;G12&amp;" punya deadline project lain pada tanggal yang sama. ","")&amp;IF(AND(H12&lt;&gt;"",SUMPRODUCT(($A$3:$A$62=$A12)*($B$3:$B$62&lt;$C12)*($C$3:$C$62&gt;$B12)*(ROW($A$3:$A$62)&lt;&gt;ROW())*((($G$3:$G$62=H12)+($H$3:$H$62=H12)+($I$3:$I$62=H12)+($J$3:$J$62=H12))&gt;0))&gt;0),"RED: "&amp;H12&amp;" bentrok meeting. ","")&amp;IF(AND(H12&lt;&gt;"",NOT(SUMPRODUCT(($A$3:$A$62=$A12)*($B$3:$B$62&lt;$C12)*($C$3:$C$62&gt;$B12)*(ROW($A$3:$A$62)&lt;&gt;ROW())*((($G$3:$G$62=H12)+($H$3:$H$62=H12)+($I$3:$I$62=H12)+($J$3:$J$62=H12))&gt;0))&gt;0),COUNTIFS('Work Activity'!$C$3:$C$89,$A12,'Work Activity'!$G$3:$G$89,H12,'Work Activity'!$A$3:$A$89,"&lt;&gt;"&amp;$D12)&gt;0),"YELLOW: "&amp;H12&amp;" punya deadline project lain pada tanggal yang sama. ","")&amp;IF(AND(I12&lt;&gt;"",SUMPRODUCT(($A$3:$A$62=$A12)*($B$3:$B$62&lt;$C12)*($C$3:$C$62&gt;$B12)*(ROW($A$3:$A$62)&lt;&gt;ROW())*((($G$3:$G$62=I12)+($H$3:$H$62=I12)+($I$3:$I$62=I12)+($J$3:$J$62=I12))&gt;0))&gt;0),"RED: "&amp;I12&amp;" bentrok meeting. ","")&amp;IF(AND(I12&lt;&gt;"",NOT(SUMPRODUCT(($A$3:$A$62=$A12)*($B$3:$B$62&lt;$C12)*($C$3:$C$62&gt;$B12)*(ROW($A$3:$A$62)&lt;&gt;ROW())*((($G$3:$G$62=I12)+($H$3:$H$62=I12)+($I$3:$I$62=I12)+($J$3:$J$62=I12))&gt;0))&gt;0),COUNTIFS('Work Activity'!$C$3:$C$89,$A12,'Work Activity'!$G$3:$G$89,I12,'Work Activity'!$A$3:$A$89,"&lt;&gt;"&amp;$D12)&gt;0),"YELLOW: "&amp;I12&amp;" punya deadline project lain pada tanggal yang sama. ","")&amp;IF(AND(J12&lt;&gt;"",SUMPRODUCT(($A$3:$A$62=$A12)*($B$3:$B$62&lt;$C12)*($C$3:$C$62&gt;$B12)*(ROW($A$3:$A$62)&lt;&gt;ROW())*((($G$3:$G$62=J12)+($H$3:$H$62=J12)+($I$3:$I$62=J12)+($J$3:$J$62=J12))&gt;0))&gt;0),"RED: "&amp;J12&amp;" bentrok meeting. ","")&amp;IF(AND(J12&lt;&gt;"",NOT(SUMPRODUCT(($A$3:$A$62=$A12)*($B$3:$B$62&lt;$C12)*($C$3:$C$62&gt;$B12)*(ROW($A$3:$A$62)&lt;&gt;ROW())*((($G$3:$G$62=J12)+($H$3:$H$62=J12)+($I$3:$I$62=J12)+($J$3:$J$62=J12))&gt;0))&gt;0),COUNTIFS('Work Activity'!$C$3:$C$89,$A12,'Work Activity'!$G$3:$G$89,J12,'Work Activity'!$A$3:$A$89,"&lt;&gt;"&amp;$D12)&gt;0),"YELLOW: "&amp;J12&amp;" punya deadline project lain pada tanggal yang sama. ",""))</f>
        <v/>
      </c>
      <c r="N12"/>
      <c r="O12" t="str">
        <f t="shared" si="0"/>
        <v/>
      </c>
      <c r="P12" t="str">
        <f ca="1">IFERROR(INDEX('Staff Allocation'!$C$3:$C$62,_xludf.AGGREGATE(15,6,(ROW('Staff Allocation'!$C$3:$C$62)-ROW('Staff Allocation'!$C$3)+1)/(('Staff Allocation'!$A$3:$A$62=P$1)*('Staff Allocation'!$C$3:$C$62&lt;&gt;"")),ROWS(P$2:P12))),"")</f>
        <v/>
      </c>
      <c r="Q12" t="str">
        <f ca="1">IFERROR(INDEX('Staff Allocation'!$C$3:$C$62,_xludf.AGGREGATE(15,6,(ROW('Staff Allocation'!$C$3:$C$62)-ROW('Staff Allocation'!$C$3)+1)/(('Staff Allocation'!$A$3:$A$62=Q$1)*('Staff Allocation'!$C$3:$C$62&lt;&gt;"")),ROWS(Q$2:Q12))),"")</f>
        <v/>
      </c>
      <c r="R12" t="str">
        <f ca="1">IFERROR(INDEX('Staff Allocation'!$C$3:$C$62,_xludf.AGGREGATE(15,6,(ROW('Staff Allocation'!$C$3:$C$62)-ROW('Staff Allocation'!$C$3)+1)/(('Staff Allocation'!$A$3:$A$62=R$1)*('Staff Allocation'!$C$3:$C$62&lt;&gt;"")),ROWS(R$2:R12))),"")</f>
        <v/>
      </c>
      <c r="S12" t="str">
        <f ca="1">IFERROR(INDEX('Staff Allocation'!$C$3:$C$62,_xludf.AGGREGATE(15,6,(ROW('Staff Allocation'!$C$3:$C$62)-ROW('Staff Allocation'!$C$3)+1)/(('Staff Allocation'!$A$3:$A$62=S$1)*('Staff Allocation'!$C$3:$C$62&lt;&gt;"")),ROWS(S$2:S12))),"")</f>
        <v/>
      </c>
      <c r="T12" t="str">
        <f ca="1">IFERROR(INDEX('Staff Allocation'!$C$3:$C$62,_xludf.AGGREGATE(15,6,(ROW('Staff Allocation'!$C$3:$C$62)-ROW('Staff Allocation'!$C$3)+1)/(('Staff Allocation'!$A$3:$A$62=T$1)*('Staff Allocation'!$C$3:$C$62&lt;&gt;"")),ROWS(T$2:T12))),"")</f>
        <v/>
      </c>
      <c r="U12" t="str">
        <f ca="1">IFERROR(INDEX('Staff Allocation'!$C$3:$C$62,_xludf.AGGREGATE(15,6,(ROW('Staff Allocation'!$C$3:$C$62)-ROW('Staff Allocation'!$C$3)+1)/(('Staff Allocation'!$A$3:$A$62=U$1)*('Staff Allocation'!$C$3:$C$62&lt;&gt;"")),ROWS(U$2:U12))),"")</f>
        <v/>
      </c>
      <c r="V12" t="str">
        <f ca="1">IFERROR(INDEX('Staff Allocation'!$C$3:$C$62,_xludf.AGGREGATE(15,6,(ROW('Staff Allocation'!$C$3:$C$62)-ROW('Staff Allocation'!$C$3)+1)/(('Staff Allocation'!$A$3:$A$62=V$1)*('Staff Allocation'!$C$3:$C$62&lt;&gt;"")),ROWS(V$2:V12))),"")</f>
        <v/>
      </c>
      <c r="W12" t="str">
        <f ca="1">IFERROR(INDEX('Staff Allocation'!$C$3:$C$62,_xludf.AGGREGATE(15,6,(ROW('Staff Allocation'!$C$3:$C$62)-ROW('Staff Allocation'!$C$3)+1)/(('Staff Allocation'!$A$3:$A$62=W$1)*('Staff Allocation'!$C$3:$C$62&lt;&gt;"")),ROWS(W$2:W12))),"")</f>
        <v/>
      </c>
      <c r="X12" t="str">
        <f ca="1">IFERROR(INDEX('Staff Allocation'!$C$3:$C$62,_xludf.AGGREGATE(15,6,(ROW('Staff Allocation'!$C$3:$C$62)-ROW('Staff Allocation'!$C$3)+1)/(('Staff Allocation'!$A$3:$A$62=X$1)*('Staff Allocation'!$C$3:$C$62&lt;&gt;"")),ROWS(X$2:X12))),"")</f>
        <v/>
      </c>
      <c r="Y12" t="str">
        <f ca="1">IFERROR(INDEX('Staff Allocation'!$C$3:$C$62,_xludf.AGGREGATE(15,6,(ROW('Staff Allocation'!$C$3:$C$62)-ROW('Staff Allocation'!$C$3)+1)/(('Staff Allocation'!$A$3:$A$62=Y$1)*('Staff Allocation'!$C$3:$C$62&lt;&gt;"")),ROWS(Y$2:Y12))),"")</f>
        <v/>
      </c>
      <c r="Z12" t="str">
        <f ca="1">IFERROR(INDEX('Staff Allocation'!$C$3:$C$62,_xludf.AGGREGATE(15,6,(ROW('Staff Allocation'!$C$3:$C$62)-ROW('Staff Allocation'!$C$3)+1)/(('Staff Allocation'!$A$3:$A$62=Z$1)*('Staff Allocation'!$C$3:$C$62&lt;&gt;"")),ROWS(Z$2:Z12))),"")</f>
        <v/>
      </c>
      <c r="AA12" t="str">
        <f ca="1">IFERROR(INDEX('Staff Allocation'!$C$3:$C$62,_xludf.AGGREGATE(15,6,(ROW('Staff Allocation'!$C$3:$C$62)-ROW('Staff Allocation'!$C$3)+1)/(('Staff Allocation'!$A$3:$A$62=AA$1)*('Staff Allocation'!$C$3:$C$62&lt;&gt;"")),ROWS(AA$2:AA12))),"")</f>
        <v/>
      </c>
      <c r="AB12" t="str">
        <f ca="1">IFERROR(INDEX('Staff Allocation'!$C$3:$C$62,_xludf.AGGREGATE(15,6,(ROW('Staff Allocation'!$C$3:$C$62)-ROW('Staff Allocation'!$C$3)+1)/(('Staff Allocation'!$A$3:$A$62=AB$1)*('Staff Allocation'!$C$3:$C$62&lt;&gt;"")),ROWS(AB$2:AB12))),"")</f>
        <v/>
      </c>
      <c r="AC12" t="str">
        <f ca="1">IFERROR(INDEX('Staff Allocation'!$C$3:$C$62,_xludf.AGGREGATE(15,6,(ROW('Staff Allocation'!$C$3:$C$62)-ROW('Staff Allocation'!$C$3)+1)/(('Staff Allocation'!$A$3:$A$62=AC$1)*('Staff Allocation'!$C$3:$C$62&lt;&gt;"")),ROWS(AC$2:AC12))),"")</f>
        <v/>
      </c>
      <c r="AD12" t="str">
        <f ca="1">IFERROR(INDEX('Staff Allocation'!$C$3:$C$62,_xludf.AGGREGATE(15,6,(ROW('Staff Allocation'!$C$3:$C$62)-ROW('Staff Allocation'!$C$3)+1)/(('Staff Allocation'!$A$3:$A$62=AD$1)*('Staff Allocation'!$C$3:$C$62&lt;&gt;"")),ROWS(AD$2:AD12))),"")</f>
        <v/>
      </c>
    </row>
    <row r="13" spans="1:30">
      <c r="A13" s="9"/>
      <c r="B13" s="12"/>
      <c r="C13" s="12"/>
      <c r="D13"/>
      <c r="E13"/>
      <c r="F13"/>
      <c r="G13"/>
      <c r="H13"/>
      <c r="I13"/>
      <c r="K13"/>
      <c r="L13" t="str">
        <f>IF(OR(AND(G13&lt;&gt;"",SUMPRODUCT(($A$3:$A$62=$A13)*($B$3:$B$62&lt;$C13)*($C$3:$C$62&gt;$B13)*(ROW($A$3:$A$62)&lt;&gt;ROW())*((($G$3:$G$62=G13)+($H$3:$H$62=G13)+($I$3:$I$62=G13)+($J$3:$J$62=G13))&gt;0))&gt;0),AND(H13&lt;&gt;"",SUMPRODUCT(($A$3:$A$62=$A13)*($B$3:$B$62&lt;$C13)*($C$3:$C$62&gt;$B13)*(ROW($A$3:$A$62)&lt;&gt;ROW())*((($G$3:$G$62=H13)+($H$3:$H$62=H13)+($I$3:$I$62=H13)+($J$3:$J$62=H13))&gt;0))&gt;0),AND(I13&lt;&gt;"",SUMPRODUCT(($A$3:$A$62=$A13)*($B$3:$B$62&lt;$C13)*($C$3:$C$62&gt;$B13)*(ROW($A$3:$A$62)&lt;&gt;ROW())*((($G$3:$G$62=I13)+($H$3:$H$62=I13)+($I$3:$I$62=I13)+($J$3:$J$62=I13))&gt;0))&gt;0),AND(J13&lt;&gt;"",SUMPRODUCT(($A$3:$A$62=$A13)*($B$3:$B$62&lt;$C13)*($C$3:$C$62&gt;$B13)*(ROW($A$3:$A$62)&lt;&gt;ROW())*((($G$3:$G$62=J13)+($H$3:$H$62=J13)+($I$3:$I$62=J13)+($J$3:$J$62=J13))&gt;0))&gt;0)),"RED - MEETING CLASH",IF(OR(AND(G13&lt;&gt;"",COUNTIFS('Work Activity'!$C$3:$C$89,$A13,'Work Activity'!$G$3:$G$89,G13,'Work Activity'!$A$3:$A$89,"&lt;&gt;"&amp;$D13)&gt;0),AND(H13&lt;&gt;"",COUNTIFS('Work Activity'!$C$3:$C$89,$A13,'Work Activity'!$G$3:$G$89,H13,'Work Activity'!$A$3:$A$89,"&lt;&gt;"&amp;$D13)&gt;0),AND(I13&lt;&gt;"",COUNTIFS('Work Activity'!$C$3:$C$89,$A13,'Work Activity'!$G$3:$G$89,I13,'Work Activity'!$A$3:$A$89,"&lt;&gt;"&amp;$D13)&gt;0),AND(J13&lt;&gt;"",COUNTIFS('Work Activity'!$C$3:$C$89,$A13,'Work Activity'!$G$3:$G$89,J13,'Work Activity'!$A$3:$A$89,"&lt;&gt;"&amp;$D13)&gt;0)),"YELLOW - DEADLINE CHECK","CLEAR"))</f>
        <v>CLEAR</v>
      </c>
      <c r="M13" t="str">
        <f>TRIM(IF(AND(G13&lt;&gt;"",SUMPRODUCT(($A$3:$A$62=$A13)*($B$3:$B$62&lt;$C13)*($C$3:$C$62&gt;$B13)*(ROW($A$3:$A$62)&lt;&gt;ROW())*((($G$3:$G$62=G13)+($H$3:$H$62=G13)+($I$3:$I$62=G13)+($J$3:$J$62=G13))&gt;0))&gt;0),"RED: "&amp;G13&amp;" bentrok meeting. ","")&amp;IF(AND(G13&lt;&gt;"",NOT(SUMPRODUCT(($A$3:$A$62=$A13)*($B$3:$B$62&lt;$C13)*($C$3:$C$62&gt;$B13)*(ROW($A$3:$A$62)&lt;&gt;ROW())*((($G$3:$G$62=G13)+($H$3:$H$62=G13)+($I$3:$I$62=G13)+($J$3:$J$62=G13))&gt;0))&gt;0),COUNTIFS('Work Activity'!$C$3:$C$89,$A13,'Work Activity'!$G$3:$G$89,G13,'Work Activity'!$A$3:$A$89,"&lt;&gt;"&amp;$D13)&gt;0),"YELLOW: "&amp;G13&amp;" punya deadline project lain pada tanggal yang sama. ","")&amp;IF(AND(H13&lt;&gt;"",SUMPRODUCT(($A$3:$A$62=$A13)*($B$3:$B$62&lt;$C13)*($C$3:$C$62&gt;$B13)*(ROW($A$3:$A$62)&lt;&gt;ROW())*((($G$3:$G$62=H13)+($H$3:$H$62=H13)+($I$3:$I$62=H13)+($J$3:$J$62=H13))&gt;0))&gt;0),"RED: "&amp;H13&amp;" bentrok meeting. ","")&amp;IF(AND(H13&lt;&gt;"",NOT(SUMPRODUCT(($A$3:$A$62=$A13)*($B$3:$B$62&lt;$C13)*($C$3:$C$62&gt;$B13)*(ROW($A$3:$A$62)&lt;&gt;ROW())*((($G$3:$G$62=H13)+($H$3:$H$62=H13)+($I$3:$I$62=H13)+($J$3:$J$62=H13))&gt;0))&gt;0),COUNTIFS('Work Activity'!$C$3:$C$89,$A13,'Work Activity'!$G$3:$G$89,H13,'Work Activity'!$A$3:$A$89,"&lt;&gt;"&amp;$D13)&gt;0),"YELLOW: "&amp;H13&amp;" punya deadline project lain pada tanggal yang sama. ","")&amp;IF(AND(I13&lt;&gt;"",SUMPRODUCT(($A$3:$A$62=$A13)*($B$3:$B$62&lt;$C13)*($C$3:$C$62&gt;$B13)*(ROW($A$3:$A$62)&lt;&gt;ROW())*((($G$3:$G$62=I13)+($H$3:$H$62=I13)+($I$3:$I$62=I13)+($J$3:$J$62=I13))&gt;0))&gt;0),"RED: "&amp;I13&amp;" bentrok meeting. ","")&amp;IF(AND(I13&lt;&gt;"",NOT(SUMPRODUCT(($A$3:$A$62=$A13)*($B$3:$B$62&lt;$C13)*($C$3:$C$62&gt;$B13)*(ROW($A$3:$A$62)&lt;&gt;ROW())*((($G$3:$G$62=I13)+($H$3:$H$62=I13)+($I$3:$I$62=I13)+($J$3:$J$62=I13))&gt;0))&gt;0),COUNTIFS('Work Activity'!$C$3:$C$89,$A13,'Work Activity'!$G$3:$G$89,I13,'Work Activity'!$A$3:$A$89,"&lt;&gt;"&amp;$D13)&gt;0),"YELLOW: "&amp;I13&amp;" punya deadline project lain pada tanggal yang sama. ","")&amp;IF(AND(J13&lt;&gt;"",SUMPRODUCT(($A$3:$A$62=$A13)*($B$3:$B$62&lt;$C13)*($C$3:$C$62&gt;$B13)*(ROW($A$3:$A$62)&lt;&gt;ROW())*((($G$3:$G$62=J13)+($H$3:$H$62=J13)+($I$3:$I$62=J13)+($J$3:$J$62=J13))&gt;0))&gt;0),"RED: "&amp;J13&amp;" bentrok meeting. ","")&amp;IF(AND(J13&lt;&gt;"",NOT(SUMPRODUCT(($A$3:$A$62=$A13)*($B$3:$B$62&lt;$C13)*($C$3:$C$62&gt;$B13)*(ROW($A$3:$A$62)&lt;&gt;ROW())*((($G$3:$G$62=J13)+($H$3:$H$62=J13)+($I$3:$I$62=J13)+($J$3:$J$62=J13))&gt;0))&gt;0),COUNTIFS('Work Activity'!$C$3:$C$89,$A13,'Work Activity'!$G$3:$G$89,J13,'Work Activity'!$A$3:$A$89,"&lt;&gt;"&amp;$D13)&gt;0),"YELLOW: "&amp;J13&amp;" punya deadline project lain pada tanggal yang sama. ",""))</f>
        <v/>
      </c>
      <c r="N13"/>
      <c r="O13" t="str">
        <f t="shared" si="0"/>
        <v/>
      </c>
      <c r="P13" t="str">
        <f ca="1">IFERROR(INDEX('Staff Allocation'!$C$3:$C$62,_xludf.AGGREGATE(15,6,(ROW('Staff Allocation'!$C$3:$C$62)-ROW('Staff Allocation'!$C$3)+1)/(('Staff Allocation'!$A$3:$A$62=P$1)*('Staff Allocation'!$C$3:$C$62&lt;&gt;"")),ROWS(P$2:P13))),"")</f>
        <v/>
      </c>
      <c r="Q13" t="str">
        <f ca="1">IFERROR(INDEX('Staff Allocation'!$C$3:$C$62,_xludf.AGGREGATE(15,6,(ROW('Staff Allocation'!$C$3:$C$62)-ROW('Staff Allocation'!$C$3)+1)/(('Staff Allocation'!$A$3:$A$62=Q$1)*('Staff Allocation'!$C$3:$C$62&lt;&gt;"")),ROWS(Q$2:Q13))),"")</f>
        <v/>
      </c>
      <c r="R13" t="str">
        <f ca="1">IFERROR(INDEX('Staff Allocation'!$C$3:$C$62,_xludf.AGGREGATE(15,6,(ROW('Staff Allocation'!$C$3:$C$62)-ROW('Staff Allocation'!$C$3)+1)/(('Staff Allocation'!$A$3:$A$62=R$1)*('Staff Allocation'!$C$3:$C$62&lt;&gt;"")),ROWS(R$2:R13))),"")</f>
        <v/>
      </c>
      <c r="S13" t="str">
        <f ca="1">IFERROR(INDEX('Staff Allocation'!$C$3:$C$62,_xludf.AGGREGATE(15,6,(ROW('Staff Allocation'!$C$3:$C$62)-ROW('Staff Allocation'!$C$3)+1)/(('Staff Allocation'!$A$3:$A$62=S$1)*('Staff Allocation'!$C$3:$C$62&lt;&gt;"")),ROWS(S$2:S13))),"")</f>
        <v/>
      </c>
      <c r="T13" t="str">
        <f ca="1">IFERROR(INDEX('Staff Allocation'!$C$3:$C$62,_xludf.AGGREGATE(15,6,(ROW('Staff Allocation'!$C$3:$C$62)-ROW('Staff Allocation'!$C$3)+1)/(('Staff Allocation'!$A$3:$A$62=T$1)*('Staff Allocation'!$C$3:$C$62&lt;&gt;"")),ROWS(T$2:T13))),"")</f>
        <v/>
      </c>
      <c r="U13" t="str">
        <f ca="1">IFERROR(INDEX('Staff Allocation'!$C$3:$C$62,_xludf.AGGREGATE(15,6,(ROW('Staff Allocation'!$C$3:$C$62)-ROW('Staff Allocation'!$C$3)+1)/(('Staff Allocation'!$A$3:$A$62=U$1)*('Staff Allocation'!$C$3:$C$62&lt;&gt;"")),ROWS(U$2:U13))),"")</f>
        <v/>
      </c>
      <c r="V13" t="str">
        <f ca="1">IFERROR(INDEX('Staff Allocation'!$C$3:$C$62,_xludf.AGGREGATE(15,6,(ROW('Staff Allocation'!$C$3:$C$62)-ROW('Staff Allocation'!$C$3)+1)/(('Staff Allocation'!$A$3:$A$62=V$1)*('Staff Allocation'!$C$3:$C$62&lt;&gt;"")),ROWS(V$2:V13))),"")</f>
        <v/>
      </c>
      <c r="W13" t="str">
        <f ca="1">IFERROR(INDEX('Staff Allocation'!$C$3:$C$62,_xludf.AGGREGATE(15,6,(ROW('Staff Allocation'!$C$3:$C$62)-ROW('Staff Allocation'!$C$3)+1)/(('Staff Allocation'!$A$3:$A$62=W$1)*('Staff Allocation'!$C$3:$C$62&lt;&gt;"")),ROWS(W$2:W13))),"")</f>
        <v/>
      </c>
      <c r="X13" t="str">
        <f ca="1">IFERROR(INDEX('Staff Allocation'!$C$3:$C$62,_xludf.AGGREGATE(15,6,(ROW('Staff Allocation'!$C$3:$C$62)-ROW('Staff Allocation'!$C$3)+1)/(('Staff Allocation'!$A$3:$A$62=X$1)*('Staff Allocation'!$C$3:$C$62&lt;&gt;"")),ROWS(X$2:X13))),"")</f>
        <v/>
      </c>
      <c r="Y13" t="str">
        <f ca="1">IFERROR(INDEX('Staff Allocation'!$C$3:$C$62,_xludf.AGGREGATE(15,6,(ROW('Staff Allocation'!$C$3:$C$62)-ROW('Staff Allocation'!$C$3)+1)/(('Staff Allocation'!$A$3:$A$62=Y$1)*('Staff Allocation'!$C$3:$C$62&lt;&gt;"")),ROWS(Y$2:Y13))),"")</f>
        <v/>
      </c>
      <c r="Z13" t="str">
        <f ca="1">IFERROR(INDEX('Staff Allocation'!$C$3:$C$62,_xludf.AGGREGATE(15,6,(ROW('Staff Allocation'!$C$3:$C$62)-ROW('Staff Allocation'!$C$3)+1)/(('Staff Allocation'!$A$3:$A$62=Z$1)*('Staff Allocation'!$C$3:$C$62&lt;&gt;"")),ROWS(Z$2:Z13))),"")</f>
        <v/>
      </c>
      <c r="AA13" t="str">
        <f ca="1">IFERROR(INDEX('Staff Allocation'!$C$3:$C$62,_xludf.AGGREGATE(15,6,(ROW('Staff Allocation'!$C$3:$C$62)-ROW('Staff Allocation'!$C$3)+1)/(('Staff Allocation'!$A$3:$A$62=AA$1)*('Staff Allocation'!$C$3:$C$62&lt;&gt;"")),ROWS(AA$2:AA13))),"")</f>
        <v/>
      </c>
      <c r="AB13" t="str">
        <f ca="1">IFERROR(INDEX('Staff Allocation'!$C$3:$C$62,_xludf.AGGREGATE(15,6,(ROW('Staff Allocation'!$C$3:$C$62)-ROW('Staff Allocation'!$C$3)+1)/(('Staff Allocation'!$A$3:$A$62=AB$1)*('Staff Allocation'!$C$3:$C$62&lt;&gt;"")),ROWS(AB$2:AB13))),"")</f>
        <v/>
      </c>
      <c r="AC13" t="str">
        <f ca="1">IFERROR(INDEX('Staff Allocation'!$C$3:$C$62,_xludf.AGGREGATE(15,6,(ROW('Staff Allocation'!$C$3:$C$62)-ROW('Staff Allocation'!$C$3)+1)/(('Staff Allocation'!$A$3:$A$62=AC$1)*('Staff Allocation'!$C$3:$C$62&lt;&gt;"")),ROWS(AC$2:AC13))),"")</f>
        <v/>
      </c>
      <c r="AD13" t="str">
        <f ca="1">IFERROR(INDEX('Staff Allocation'!$C$3:$C$62,_xludf.AGGREGATE(15,6,(ROW('Staff Allocation'!$C$3:$C$62)-ROW('Staff Allocation'!$C$3)+1)/(('Staff Allocation'!$A$3:$A$62=AD$1)*('Staff Allocation'!$C$3:$C$62&lt;&gt;"")),ROWS(AD$2:AD13))),"")</f>
        <v/>
      </c>
    </row>
    <row r="14" spans="1:30">
      <c r="A14" s="9"/>
      <c r="B14" s="12"/>
      <c r="C14" s="12"/>
      <c r="D14"/>
      <c r="E14"/>
      <c r="F14"/>
      <c r="G14"/>
      <c r="H14"/>
      <c r="I14"/>
      <c r="K14"/>
      <c r="L14" t="str">
        <f>IF(OR(AND(G14&lt;&gt;"",SUMPRODUCT(($A$3:$A$62=$A14)*($B$3:$B$62&lt;$C14)*($C$3:$C$62&gt;$B14)*(ROW($A$3:$A$62)&lt;&gt;ROW())*((($G$3:$G$62=G14)+($H$3:$H$62=G14)+($I$3:$I$62=G14)+($J$3:$J$62=G14))&gt;0))&gt;0),AND(H14&lt;&gt;"",SUMPRODUCT(($A$3:$A$62=$A14)*($B$3:$B$62&lt;$C14)*($C$3:$C$62&gt;$B14)*(ROW($A$3:$A$62)&lt;&gt;ROW())*((($G$3:$G$62=H14)+($H$3:$H$62=H14)+($I$3:$I$62=H14)+($J$3:$J$62=H14))&gt;0))&gt;0),AND(I14&lt;&gt;"",SUMPRODUCT(($A$3:$A$62=$A14)*($B$3:$B$62&lt;$C14)*($C$3:$C$62&gt;$B14)*(ROW($A$3:$A$62)&lt;&gt;ROW())*((($G$3:$G$62=I14)+($H$3:$H$62=I14)+($I$3:$I$62=I14)+($J$3:$J$62=I14))&gt;0))&gt;0),AND(J14&lt;&gt;"",SUMPRODUCT(($A$3:$A$62=$A14)*($B$3:$B$62&lt;$C14)*($C$3:$C$62&gt;$B14)*(ROW($A$3:$A$62)&lt;&gt;ROW())*((($G$3:$G$62=J14)+($H$3:$H$62=J14)+($I$3:$I$62=J14)+($J$3:$J$62=J14))&gt;0))&gt;0)),"RED - MEETING CLASH",IF(OR(AND(G14&lt;&gt;"",COUNTIFS('Work Activity'!$C$3:$C$89,$A14,'Work Activity'!$G$3:$G$89,G14,'Work Activity'!$A$3:$A$89,"&lt;&gt;"&amp;$D14)&gt;0),AND(H14&lt;&gt;"",COUNTIFS('Work Activity'!$C$3:$C$89,$A14,'Work Activity'!$G$3:$G$89,H14,'Work Activity'!$A$3:$A$89,"&lt;&gt;"&amp;$D14)&gt;0),AND(I14&lt;&gt;"",COUNTIFS('Work Activity'!$C$3:$C$89,$A14,'Work Activity'!$G$3:$G$89,I14,'Work Activity'!$A$3:$A$89,"&lt;&gt;"&amp;$D14)&gt;0),AND(J14&lt;&gt;"",COUNTIFS('Work Activity'!$C$3:$C$89,$A14,'Work Activity'!$G$3:$G$89,J14,'Work Activity'!$A$3:$A$89,"&lt;&gt;"&amp;$D14)&gt;0)),"YELLOW - DEADLINE CHECK","CLEAR"))</f>
        <v>CLEAR</v>
      </c>
      <c r="M14" t="str">
        <f>TRIM(IF(AND(G14&lt;&gt;"",SUMPRODUCT(($A$3:$A$62=$A14)*($B$3:$B$62&lt;$C14)*($C$3:$C$62&gt;$B14)*(ROW($A$3:$A$62)&lt;&gt;ROW())*((($G$3:$G$62=G14)+($H$3:$H$62=G14)+($I$3:$I$62=G14)+($J$3:$J$62=G14))&gt;0))&gt;0),"RED: "&amp;G14&amp;" bentrok meeting. ","")&amp;IF(AND(G14&lt;&gt;"",NOT(SUMPRODUCT(($A$3:$A$62=$A14)*($B$3:$B$62&lt;$C14)*($C$3:$C$62&gt;$B14)*(ROW($A$3:$A$62)&lt;&gt;ROW())*((($G$3:$G$62=G14)+($H$3:$H$62=G14)+($I$3:$I$62=G14)+($J$3:$J$62=G14))&gt;0))&gt;0),COUNTIFS('Work Activity'!$C$3:$C$89,$A14,'Work Activity'!$G$3:$G$89,G14,'Work Activity'!$A$3:$A$89,"&lt;&gt;"&amp;$D14)&gt;0),"YELLOW: "&amp;G14&amp;" punya deadline project lain pada tanggal yang sama. ","")&amp;IF(AND(H14&lt;&gt;"",SUMPRODUCT(($A$3:$A$62=$A14)*($B$3:$B$62&lt;$C14)*($C$3:$C$62&gt;$B14)*(ROW($A$3:$A$62)&lt;&gt;ROW())*((($G$3:$G$62=H14)+($H$3:$H$62=H14)+($I$3:$I$62=H14)+($J$3:$J$62=H14))&gt;0))&gt;0),"RED: "&amp;H14&amp;" bentrok meeting. ","")&amp;IF(AND(H14&lt;&gt;"",NOT(SUMPRODUCT(($A$3:$A$62=$A14)*($B$3:$B$62&lt;$C14)*($C$3:$C$62&gt;$B14)*(ROW($A$3:$A$62)&lt;&gt;ROW())*((($G$3:$G$62=H14)+($H$3:$H$62=H14)+($I$3:$I$62=H14)+($J$3:$J$62=H14))&gt;0))&gt;0),COUNTIFS('Work Activity'!$C$3:$C$89,$A14,'Work Activity'!$G$3:$G$89,H14,'Work Activity'!$A$3:$A$89,"&lt;&gt;"&amp;$D14)&gt;0),"YELLOW: "&amp;H14&amp;" punya deadline project lain pada tanggal yang sama. ","")&amp;IF(AND(I14&lt;&gt;"",SUMPRODUCT(($A$3:$A$62=$A14)*($B$3:$B$62&lt;$C14)*($C$3:$C$62&gt;$B14)*(ROW($A$3:$A$62)&lt;&gt;ROW())*((($G$3:$G$62=I14)+($H$3:$H$62=I14)+($I$3:$I$62=I14)+($J$3:$J$62=I14))&gt;0))&gt;0),"RED: "&amp;I14&amp;" bentrok meeting. ","")&amp;IF(AND(I14&lt;&gt;"",NOT(SUMPRODUCT(($A$3:$A$62=$A14)*($B$3:$B$62&lt;$C14)*($C$3:$C$62&gt;$B14)*(ROW($A$3:$A$62)&lt;&gt;ROW())*((($G$3:$G$62=I14)+($H$3:$H$62=I14)+($I$3:$I$62=I14)+($J$3:$J$62=I14))&gt;0))&gt;0),COUNTIFS('Work Activity'!$C$3:$C$89,$A14,'Work Activity'!$G$3:$G$89,I14,'Work Activity'!$A$3:$A$89,"&lt;&gt;"&amp;$D14)&gt;0),"YELLOW: "&amp;I14&amp;" punya deadline project lain pada tanggal yang sama. ","")&amp;IF(AND(J14&lt;&gt;"",SUMPRODUCT(($A$3:$A$62=$A14)*($B$3:$B$62&lt;$C14)*($C$3:$C$62&gt;$B14)*(ROW($A$3:$A$62)&lt;&gt;ROW())*((($G$3:$G$62=J14)+($H$3:$H$62=J14)+($I$3:$I$62=J14)+($J$3:$J$62=J14))&gt;0))&gt;0),"RED: "&amp;J14&amp;" bentrok meeting. ","")&amp;IF(AND(J14&lt;&gt;"",NOT(SUMPRODUCT(($A$3:$A$62=$A14)*($B$3:$B$62&lt;$C14)*($C$3:$C$62&gt;$B14)*(ROW($A$3:$A$62)&lt;&gt;ROW())*((($G$3:$G$62=J14)+($H$3:$H$62=J14)+($I$3:$I$62=J14)+($J$3:$J$62=J14))&gt;0))&gt;0),COUNTIFS('Work Activity'!$C$3:$C$89,$A14,'Work Activity'!$G$3:$G$89,J14,'Work Activity'!$A$3:$A$89,"&lt;&gt;"&amp;$D14)&gt;0),"YELLOW: "&amp;J14&amp;" punya deadline project lain pada tanggal yang sama. ",""))</f>
        <v/>
      </c>
      <c r="N14"/>
      <c r="O14" t="str">
        <f t="shared" si="0"/>
        <v/>
      </c>
      <c r="P14" t="str">
        <f ca="1">IFERROR(INDEX('Staff Allocation'!$C$3:$C$62,_xludf.AGGREGATE(15,6,(ROW('Staff Allocation'!$C$3:$C$62)-ROW('Staff Allocation'!$C$3)+1)/(('Staff Allocation'!$A$3:$A$62=P$1)*('Staff Allocation'!$C$3:$C$62&lt;&gt;"")),ROWS(P$2:P14))),"")</f>
        <v/>
      </c>
      <c r="Q14" t="str">
        <f ca="1">IFERROR(INDEX('Staff Allocation'!$C$3:$C$62,_xludf.AGGREGATE(15,6,(ROW('Staff Allocation'!$C$3:$C$62)-ROW('Staff Allocation'!$C$3)+1)/(('Staff Allocation'!$A$3:$A$62=Q$1)*('Staff Allocation'!$C$3:$C$62&lt;&gt;"")),ROWS(Q$2:Q14))),"")</f>
        <v/>
      </c>
      <c r="R14" t="str">
        <f ca="1">IFERROR(INDEX('Staff Allocation'!$C$3:$C$62,_xludf.AGGREGATE(15,6,(ROW('Staff Allocation'!$C$3:$C$62)-ROW('Staff Allocation'!$C$3)+1)/(('Staff Allocation'!$A$3:$A$62=R$1)*('Staff Allocation'!$C$3:$C$62&lt;&gt;"")),ROWS(R$2:R14))),"")</f>
        <v/>
      </c>
      <c r="S14" t="str">
        <f ca="1">IFERROR(INDEX('Staff Allocation'!$C$3:$C$62,_xludf.AGGREGATE(15,6,(ROW('Staff Allocation'!$C$3:$C$62)-ROW('Staff Allocation'!$C$3)+1)/(('Staff Allocation'!$A$3:$A$62=S$1)*('Staff Allocation'!$C$3:$C$62&lt;&gt;"")),ROWS(S$2:S14))),"")</f>
        <v/>
      </c>
      <c r="T14" t="str">
        <f ca="1">IFERROR(INDEX('Staff Allocation'!$C$3:$C$62,_xludf.AGGREGATE(15,6,(ROW('Staff Allocation'!$C$3:$C$62)-ROW('Staff Allocation'!$C$3)+1)/(('Staff Allocation'!$A$3:$A$62=T$1)*('Staff Allocation'!$C$3:$C$62&lt;&gt;"")),ROWS(T$2:T14))),"")</f>
        <v/>
      </c>
      <c r="U14" t="str">
        <f ca="1">IFERROR(INDEX('Staff Allocation'!$C$3:$C$62,_xludf.AGGREGATE(15,6,(ROW('Staff Allocation'!$C$3:$C$62)-ROW('Staff Allocation'!$C$3)+1)/(('Staff Allocation'!$A$3:$A$62=U$1)*('Staff Allocation'!$C$3:$C$62&lt;&gt;"")),ROWS(U$2:U14))),"")</f>
        <v/>
      </c>
      <c r="V14" t="str">
        <f ca="1">IFERROR(INDEX('Staff Allocation'!$C$3:$C$62,_xludf.AGGREGATE(15,6,(ROW('Staff Allocation'!$C$3:$C$62)-ROW('Staff Allocation'!$C$3)+1)/(('Staff Allocation'!$A$3:$A$62=V$1)*('Staff Allocation'!$C$3:$C$62&lt;&gt;"")),ROWS(V$2:V14))),"")</f>
        <v/>
      </c>
      <c r="W14" t="str">
        <f ca="1">IFERROR(INDEX('Staff Allocation'!$C$3:$C$62,_xludf.AGGREGATE(15,6,(ROW('Staff Allocation'!$C$3:$C$62)-ROW('Staff Allocation'!$C$3)+1)/(('Staff Allocation'!$A$3:$A$62=W$1)*('Staff Allocation'!$C$3:$C$62&lt;&gt;"")),ROWS(W$2:W14))),"")</f>
        <v/>
      </c>
      <c r="X14" t="str">
        <f ca="1">IFERROR(INDEX('Staff Allocation'!$C$3:$C$62,_xludf.AGGREGATE(15,6,(ROW('Staff Allocation'!$C$3:$C$62)-ROW('Staff Allocation'!$C$3)+1)/(('Staff Allocation'!$A$3:$A$62=X$1)*('Staff Allocation'!$C$3:$C$62&lt;&gt;"")),ROWS(X$2:X14))),"")</f>
        <v/>
      </c>
      <c r="Y14" t="str">
        <f ca="1">IFERROR(INDEX('Staff Allocation'!$C$3:$C$62,_xludf.AGGREGATE(15,6,(ROW('Staff Allocation'!$C$3:$C$62)-ROW('Staff Allocation'!$C$3)+1)/(('Staff Allocation'!$A$3:$A$62=Y$1)*('Staff Allocation'!$C$3:$C$62&lt;&gt;"")),ROWS(Y$2:Y14))),"")</f>
        <v/>
      </c>
      <c r="Z14" t="str">
        <f ca="1">IFERROR(INDEX('Staff Allocation'!$C$3:$C$62,_xludf.AGGREGATE(15,6,(ROW('Staff Allocation'!$C$3:$C$62)-ROW('Staff Allocation'!$C$3)+1)/(('Staff Allocation'!$A$3:$A$62=Z$1)*('Staff Allocation'!$C$3:$C$62&lt;&gt;"")),ROWS(Z$2:Z14))),"")</f>
        <v/>
      </c>
      <c r="AA14" t="str">
        <f ca="1">IFERROR(INDEX('Staff Allocation'!$C$3:$C$62,_xludf.AGGREGATE(15,6,(ROW('Staff Allocation'!$C$3:$C$62)-ROW('Staff Allocation'!$C$3)+1)/(('Staff Allocation'!$A$3:$A$62=AA$1)*('Staff Allocation'!$C$3:$C$62&lt;&gt;"")),ROWS(AA$2:AA14))),"")</f>
        <v/>
      </c>
      <c r="AB14" t="str">
        <f ca="1">IFERROR(INDEX('Staff Allocation'!$C$3:$C$62,_xludf.AGGREGATE(15,6,(ROW('Staff Allocation'!$C$3:$C$62)-ROW('Staff Allocation'!$C$3)+1)/(('Staff Allocation'!$A$3:$A$62=AB$1)*('Staff Allocation'!$C$3:$C$62&lt;&gt;"")),ROWS(AB$2:AB14))),"")</f>
        <v/>
      </c>
      <c r="AC14" t="str">
        <f ca="1">IFERROR(INDEX('Staff Allocation'!$C$3:$C$62,_xludf.AGGREGATE(15,6,(ROW('Staff Allocation'!$C$3:$C$62)-ROW('Staff Allocation'!$C$3)+1)/(('Staff Allocation'!$A$3:$A$62=AC$1)*('Staff Allocation'!$C$3:$C$62&lt;&gt;"")),ROWS(AC$2:AC14))),"")</f>
        <v/>
      </c>
      <c r="AD14" t="str">
        <f ca="1">IFERROR(INDEX('Staff Allocation'!$C$3:$C$62,_xludf.AGGREGATE(15,6,(ROW('Staff Allocation'!$C$3:$C$62)-ROW('Staff Allocation'!$C$3)+1)/(('Staff Allocation'!$A$3:$A$62=AD$1)*('Staff Allocation'!$C$3:$C$62&lt;&gt;"")),ROWS(AD$2:AD14))),"")</f>
        <v/>
      </c>
    </row>
    <row r="15" spans="1:30">
      <c r="A15" s="9"/>
      <c r="B15" s="12"/>
      <c r="C15" s="12"/>
      <c r="D15"/>
      <c r="E15"/>
      <c r="F15"/>
      <c r="G15"/>
      <c r="H15"/>
      <c r="I15"/>
      <c r="K15"/>
      <c r="L15" t="str">
        <f>IF(OR(AND(G15&lt;&gt;"",SUMPRODUCT(($A$3:$A$62=$A15)*($B$3:$B$62&lt;$C15)*($C$3:$C$62&gt;$B15)*(ROW($A$3:$A$62)&lt;&gt;ROW())*((($G$3:$G$62=G15)+($H$3:$H$62=G15)+($I$3:$I$62=G15)+($J$3:$J$62=G15))&gt;0))&gt;0),AND(H15&lt;&gt;"",SUMPRODUCT(($A$3:$A$62=$A15)*($B$3:$B$62&lt;$C15)*($C$3:$C$62&gt;$B15)*(ROW($A$3:$A$62)&lt;&gt;ROW())*((($G$3:$G$62=H15)+($H$3:$H$62=H15)+($I$3:$I$62=H15)+($J$3:$J$62=H15))&gt;0))&gt;0),AND(I15&lt;&gt;"",SUMPRODUCT(($A$3:$A$62=$A15)*($B$3:$B$62&lt;$C15)*($C$3:$C$62&gt;$B15)*(ROW($A$3:$A$62)&lt;&gt;ROW())*((($G$3:$G$62=I15)+($H$3:$H$62=I15)+($I$3:$I$62=I15)+($J$3:$J$62=I15))&gt;0))&gt;0),AND(J15&lt;&gt;"",SUMPRODUCT(($A$3:$A$62=$A15)*($B$3:$B$62&lt;$C15)*($C$3:$C$62&gt;$B15)*(ROW($A$3:$A$62)&lt;&gt;ROW())*((($G$3:$G$62=J15)+($H$3:$H$62=J15)+($I$3:$I$62=J15)+($J$3:$J$62=J15))&gt;0))&gt;0)),"RED - MEETING CLASH",IF(OR(AND(G15&lt;&gt;"",COUNTIFS('Work Activity'!$C$3:$C$89,$A15,'Work Activity'!$G$3:$G$89,G15,'Work Activity'!$A$3:$A$89,"&lt;&gt;"&amp;$D15)&gt;0),AND(H15&lt;&gt;"",COUNTIFS('Work Activity'!$C$3:$C$89,$A15,'Work Activity'!$G$3:$G$89,H15,'Work Activity'!$A$3:$A$89,"&lt;&gt;"&amp;$D15)&gt;0),AND(I15&lt;&gt;"",COUNTIFS('Work Activity'!$C$3:$C$89,$A15,'Work Activity'!$G$3:$G$89,I15,'Work Activity'!$A$3:$A$89,"&lt;&gt;"&amp;$D15)&gt;0),AND(J15&lt;&gt;"",COUNTIFS('Work Activity'!$C$3:$C$89,$A15,'Work Activity'!$G$3:$G$89,J15,'Work Activity'!$A$3:$A$89,"&lt;&gt;"&amp;$D15)&gt;0)),"YELLOW - DEADLINE CHECK","CLEAR"))</f>
        <v>CLEAR</v>
      </c>
      <c r="M15" t="str">
        <f>TRIM(IF(AND(G15&lt;&gt;"",SUMPRODUCT(($A$3:$A$62=$A15)*($B$3:$B$62&lt;$C15)*($C$3:$C$62&gt;$B15)*(ROW($A$3:$A$62)&lt;&gt;ROW())*((($G$3:$G$62=G15)+($H$3:$H$62=G15)+($I$3:$I$62=G15)+($J$3:$J$62=G15))&gt;0))&gt;0),"RED: "&amp;G15&amp;" bentrok meeting. ","")&amp;IF(AND(G15&lt;&gt;"",NOT(SUMPRODUCT(($A$3:$A$62=$A15)*($B$3:$B$62&lt;$C15)*($C$3:$C$62&gt;$B15)*(ROW($A$3:$A$62)&lt;&gt;ROW())*((($G$3:$G$62=G15)+($H$3:$H$62=G15)+($I$3:$I$62=G15)+($J$3:$J$62=G15))&gt;0))&gt;0),COUNTIFS('Work Activity'!$C$3:$C$89,$A15,'Work Activity'!$G$3:$G$89,G15,'Work Activity'!$A$3:$A$89,"&lt;&gt;"&amp;$D15)&gt;0),"YELLOW: "&amp;G15&amp;" punya deadline project lain pada tanggal yang sama. ","")&amp;IF(AND(H15&lt;&gt;"",SUMPRODUCT(($A$3:$A$62=$A15)*($B$3:$B$62&lt;$C15)*($C$3:$C$62&gt;$B15)*(ROW($A$3:$A$62)&lt;&gt;ROW())*((($G$3:$G$62=H15)+($H$3:$H$62=H15)+($I$3:$I$62=H15)+($J$3:$J$62=H15))&gt;0))&gt;0),"RED: "&amp;H15&amp;" bentrok meeting. ","")&amp;IF(AND(H15&lt;&gt;"",NOT(SUMPRODUCT(($A$3:$A$62=$A15)*($B$3:$B$62&lt;$C15)*($C$3:$C$62&gt;$B15)*(ROW($A$3:$A$62)&lt;&gt;ROW())*((($G$3:$G$62=H15)+($H$3:$H$62=H15)+($I$3:$I$62=H15)+($J$3:$J$62=H15))&gt;0))&gt;0),COUNTIFS('Work Activity'!$C$3:$C$89,$A15,'Work Activity'!$G$3:$G$89,H15,'Work Activity'!$A$3:$A$89,"&lt;&gt;"&amp;$D15)&gt;0),"YELLOW: "&amp;H15&amp;" punya deadline project lain pada tanggal yang sama. ","")&amp;IF(AND(I15&lt;&gt;"",SUMPRODUCT(($A$3:$A$62=$A15)*($B$3:$B$62&lt;$C15)*($C$3:$C$62&gt;$B15)*(ROW($A$3:$A$62)&lt;&gt;ROW())*((($G$3:$G$62=I15)+($H$3:$H$62=I15)+($I$3:$I$62=I15)+($J$3:$J$62=I15))&gt;0))&gt;0),"RED: "&amp;I15&amp;" bentrok meeting. ","")&amp;IF(AND(I15&lt;&gt;"",NOT(SUMPRODUCT(($A$3:$A$62=$A15)*($B$3:$B$62&lt;$C15)*($C$3:$C$62&gt;$B15)*(ROW($A$3:$A$62)&lt;&gt;ROW())*((($G$3:$G$62=I15)+($H$3:$H$62=I15)+($I$3:$I$62=I15)+($J$3:$J$62=I15))&gt;0))&gt;0),COUNTIFS('Work Activity'!$C$3:$C$89,$A15,'Work Activity'!$G$3:$G$89,I15,'Work Activity'!$A$3:$A$89,"&lt;&gt;"&amp;$D15)&gt;0),"YELLOW: "&amp;I15&amp;" punya deadline project lain pada tanggal yang sama. ","")&amp;IF(AND(J15&lt;&gt;"",SUMPRODUCT(($A$3:$A$62=$A15)*($B$3:$B$62&lt;$C15)*($C$3:$C$62&gt;$B15)*(ROW($A$3:$A$62)&lt;&gt;ROW())*((($G$3:$G$62=J15)+($H$3:$H$62=J15)+($I$3:$I$62=J15)+($J$3:$J$62=J15))&gt;0))&gt;0),"RED: "&amp;J15&amp;" bentrok meeting. ","")&amp;IF(AND(J15&lt;&gt;"",NOT(SUMPRODUCT(($A$3:$A$62=$A15)*($B$3:$B$62&lt;$C15)*($C$3:$C$62&gt;$B15)*(ROW($A$3:$A$62)&lt;&gt;ROW())*((($G$3:$G$62=J15)+($H$3:$H$62=J15)+($I$3:$I$62=J15)+($J$3:$J$62=J15))&gt;0))&gt;0),COUNTIFS('Work Activity'!$C$3:$C$89,$A15,'Work Activity'!$G$3:$G$89,J15,'Work Activity'!$A$3:$A$89,"&lt;&gt;"&amp;$D15)&gt;0),"YELLOW: "&amp;J15&amp;" punya deadline project lain pada tanggal yang sama. ",""))</f>
        <v/>
      </c>
      <c r="N15"/>
      <c r="O15" t="str">
        <f t="shared" si="0"/>
        <v/>
      </c>
      <c r="P15" t="str">
        <f ca="1">IFERROR(INDEX('Staff Allocation'!$C$3:$C$62,_xludf.AGGREGATE(15,6,(ROW('Staff Allocation'!$C$3:$C$62)-ROW('Staff Allocation'!$C$3)+1)/(('Staff Allocation'!$A$3:$A$62=P$1)*('Staff Allocation'!$C$3:$C$62&lt;&gt;"")),ROWS(P$2:P15))),"")</f>
        <v/>
      </c>
      <c r="Q15" t="str">
        <f ca="1">IFERROR(INDEX('Staff Allocation'!$C$3:$C$62,_xludf.AGGREGATE(15,6,(ROW('Staff Allocation'!$C$3:$C$62)-ROW('Staff Allocation'!$C$3)+1)/(('Staff Allocation'!$A$3:$A$62=Q$1)*('Staff Allocation'!$C$3:$C$62&lt;&gt;"")),ROWS(Q$2:Q15))),"")</f>
        <v/>
      </c>
      <c r="R15" t="str">
        <f ca="1">IFERROR(INDEX('Staff Allocation'!$C$3:$C$62,_xludf.AGGREGATE(15,6,(ROW('Staff Allocation'!$C$3:$C$62)-ROW('Staff Allocation'!$C$3)+1)/(('Staff Allocation'!$A$3:$A$62=R$1)*('Staff Allocation'!$C$3:$C$62&lt;&gt;"")),ROWS(R$2:R15))),"")</f>
        <v/>
      </c>
      <c r="S15" t="str">
        <f ca="1">IFERROR(INDEX('Staff Allocation'!$C$3:$C$62,_xludf.AGGREGATE(15,6,(ROW('Staff Allocation'!$C$3:$C$62)-ROW('Staff Allocation'!$C$3)+1)/(('Staff Allocation'!$A$3:$A$62=S$1)*('Staff Allocation'!$C$3:$C$62&lt;&gt;"")),ROWS(S$2:S15))),"")</f>
        <v/>
      </c>
      <c r="T15" t="str">
        <f ca="1">IFERROR(INDEX('Staff Allocation'!$C$3:$C$62,_xludf.AGGREGATE(15,6,(ROW('Staff Allocation'!$C$3:$C$62)-ROW('Staff Allocation'!$C$3)+1)/(('Staff Allocation'!$A$3:$A$62=T$1)*('Staff Allocation'!$C$3:$C$62&lt;&gt;"")),ROWS(T$2:T15))),"")</f>
        <v/>
      </c>
      <c r="U15" t="str">
        <f ca="1">IFERROR(INDEX('Staff Allocation'!$C$3:$C$62,_xludf.AGGREGATE(15,6,(ROW('Staff Allocation'!$C$3:$C$62)-ROW('Staff Allocation'!$C$3)+1)/(('Staff Allocation'!$A$3:$A$62=U$1)*('Staff Allocation'!$C$3:$C$62&lt;&gt;"")),ROWS(U$2:U15))),"")</f>
        <v/>
      </c>
      <c r="V15" t="str">
        <f ca="1">IFERROR(INDEX('Staff Allocation'!$C$3:$C$62,_xludf.AGGREGATE(15,6,(ROW('Staff Allocation'!$C$3:$C$62)-ROW('Staff Allocation'!$C$3)+1)/(('Staff Allocation'!$A$3:$A$62=V$1)*('Staff Allocation'!$C$3:$C$62&lt;&gt;"")),ROWS(V$2:V15))),"")</f>
        <v/>
      </c>
      <c r="W15" t="str">
        <f ca="1">IFERROR(INDEX('Staff Allocation'!$C$3:$C$62,_xludf.AGGREGATE(15,6,(ROW('Staff Allocation'!$C$3:$C$62)-ROW('Staff Allocation'!$C$3)+1)/(('Staff Allocation'!$A$3:$A$62=W$1)*('Staff Allocation'!$C$3:$C$62&lt;&gt;"")),ROWS(W$2:W15))),"")</f>
        <v/>
      </c>
      <c r="X15" t="str">
        <f ca="1">IFERROR(INDEX('Staff Allocation'!$C$3:$C$62,_xludf.AGGREGATE(15,6,(ROW('Staff Allocation'!$C$3:$C$62)-ROW('Staff Allocation'!$C$3)+1)/(('Staff Allocation'!$A$3:$A$62=X$1)*('Staff Allocation'!$C$3:$C$62&lt;&gt;"")),ROWS(X$2:X15))),"")</f>
        <v/>
      </c>
      <c r="Y15" t="str">
        <f ca="1">IFERROR(INDEX('Staff Allocation'!$C$3:$C$62,_xludf.AGGREGATE(15,6,(ROW('Staff Allocation'!$C$3:$C$62)-ROW('Staff Allocation'!$C$3)+1)/(('Staff Allocation'!$A$3:$A$62=Y$1)*('Staff Allocation'!$C$3:$C$62&lt;&gt;"")),ROWS(Y$2:Y15))),"")</f>
        <v/>
      </c>
      <c r="Z15" t="str">
        <f ca="1">IFERROR(INDEX('Staff Allocation'!$C$3:$C$62,_xludf.AGGREGATE(15,6,(ROW('Staff Allocation'!$C$3:$C$62)-ROW('Staff Allocation'!$C$3)+1)/(('Staff Allocation'!$A$3:$A$62=Z$1)*('Staff Allocation'!$C$3:$C$62&lt;&gt;"")),ROWS(Z$2:Z15))),"")</f>
        <v/>
      </c>
      <c r="AA15" t="str">
        <f ca="1">IFERROR(INDEX('Staff Allocation'!$C$3:$C$62,_xludf.AGGREGATE(15,6,(ROW('Staff Allocation'!$C$3:$C$62)-ROW('Staff Allocation'!$C$3)+1)/(('Staff Allocation'!$A$3:$A$62=AA$1)*('Staff Allocation'!$C$3:$C$62&lt;&gt;"")),ROWS(AA$2:AA15))),"")</f>
        <v/>
      </c>
      <c r="AB15" t="str">
        <f ca="1">IFERROR(INDEX('Staff Allocation'!$C$3:$C$62,_xludf.AGGREGATE(15,6,(ROW('Staff Allocation'!$C$3:$C$62)-ROW('Staff Allocation'!$C$3)+1)/(('Staff Allocation'!$A$3:$A$62=AB$1)*('Staff Allocation'!$C$3:$C$62&lt;&gt;"")),ROWS(AB$2:AB15))),"")</f>
        <v/>
      </c>
      <c r="AC15" t="str">
        <f ca="1">IFERROR(INDEX('Staff Allocation'!$C$3:$C$62,_xludf.AGGREGATE(15,6,(ROW('Staff Allocation'!$C$3:$C$62)-ROW('Staff Allocation'!$C$3)+1)/(('Staff Allocation'!$A$3:$A$62=AC$1)*('Staff Allocation'!$C$3:$C$62&lt;&gt;"")),ROWS(AC$2:AC15))),"")</f>
        <v/>
      </c>
      <c r="AD15" t="str">
        <f ca="1">IFERROR(INDEX('Staff Allocation'!$C$3:$C$62,_xludf.AGGREGATE(15,6,(ROW('Staff Allocation'!$C$3:$C$62)-ROW('Staff Allocation'!$C$3)+1)/(('Staff Allocation'!$A$3:$A$62=AD$1)*('Staff Allocation'!$C$3:$C$62&lt;&gt;"")),ROWS(AD$2:AD15))),"")</f>
        <v/>
      </c>
    </row>
    <row r="16" spans="1:30">
      <c r="A16" s="9"/>
      <c r="B16" s="12"/>
      <c r="C16" s="12"/>
      <c r="D16"/>
      <c r="E16"/>
      <c r="F16"/>
      <c r="G16"/>
      <c r="H16"/>
      <c r="I16"/>
      <c r="K16"/>
      <c r="L16" t="str">
        <f>IF(OR(AND(G16&lt;&gt;"",SUMPRODUCT(($A$3:$A$62=$A16)*($B$3:$B$62&lt;$C16)*($C$3:$C$62&gt;$B16)*(ROW($A$3:$A$62)&lt;&gt;ROW())*((($G$3:$G$62=G16)+($H$3:$H$62=G16)+($I$3:$I$62=G16)+($J$3:$J$62=G16))&gt;0))&gt;0),AND(H16&lt;&gt;"",SUMPRODUCT(($A$3:$A$62=$A16)*($B$3:$B$62&lt;$C16)*($C$3:$C$62&gt;$B16)*(ROW($A$3:$A$62)&lt;&gt;ROW())*((($G$3:$G$62=H16)+($H$3:$H$62=H16)+($I$3:$I$62=H16)+($J$3:$J$62=H16))&gt;0))&gt;0),AND(I16&lt;&gt;"",SUMPRODUCT(($A$3:$A$62=$A16)*($B$3:$B$62&lt;$C16)*($C$3:$C$62&gt;$B16)*(ROW($A$3:$A$62)&lt;&gt;ROW())*((($G$3:$G$62=I16)+($H$3:$H$62=I16)+($I$3:$I$62=I16)+($J$3:$J$62=I16))&gt;0))&gt;0),AND(J16&lt;&gt;"",SUMPRODUCT(($A$3:$A$62=$A16)*($B$3:$B$62&lt;$C16)*($C$3:$C$62&gt;$B16)*(ROW($A$3:$A$62)&lt;&gt;ROW())*((($G$3:$G$62=J16)+($H$3:$H$62=J16)+($I$3:$I$62=J16)+($J$3:$J$62=J16))&gt;0))&gt;0)),"RED - MEETING CLASH",IF(OR(AND(G16&lt;&gt;"",COUNTIFS('Work Activity'!$C$3:$C$89,$A16,'Work Activity'!$G$3:$G$89,G16,'Work Activity'!$A$3:$A$89,"&lt;&gt;"&amp;$D16)&gt;0),AND(H16&lt;&gt;"",COUNTIFS('Work Activity'!$C$3:$C$89,$A16,'Work Activity'!$G$3:$G$89,H16,'Work Activity'!$A$3:$A$89,"&lt;&gt;"&amp;$D16)&gt;0),AND(I16&lt;&gt;"",COUNTIFS('Work Activity'!$C$3:$C$89,$A16,'Work Activity'!$G$3:$G$89,I16,'Work Activity'!$A$3:$A$89,"&lt;&gt;"&amp;$D16)&gt;0),AND(J16&lt;&gt;"",COUNTIFS('Work Activity'!$C$3:$C$89,$A16,'Work Activity'!$G$3:$G$89,J16,'Work Activity'!$A$3:$A$89,"&lt;&gt;"&amp;$D16)&gt;0)),"YELLOW - DEADLINE CHECK","CLEAR"))</f>
        <v>CLEAR</v>
      </c>
      <c r="M16" t="str">
        <f>TRIM(IF(AND(G16&lt;&gt;"",SUMPRODUCT(($A$3:$A$62=$A16)*($B$3:$B$62&lt;$C16)*($C$3:$C$62&gt;$B16)*(ROW($A$3:$A$62)&lt;&gt;ROW())*((($G$3:$G$62=G16)+($H$3:$H$62=G16)+($I$3:$I$62=G16)+($J$3:$J$62=G16))&gt;0))&gt;0),"RED: "&amp;G16&amp;" bentrok meeting. ","")&amp;IF(AND(G16&lt;&gt;"",NOT(SUMPRODUCT(($A$3:$A$62=$A16)*($B$3:$B$62&lt;$C16)*($C$3:$C$62&gt;$B16)*(ROW($A$3:$A$62)&lt;&gt;ROW())*((($G$3:$G$62=G16)+($H$3:$H$62=G16)+($I$3:$I$62=G16)+($J$3:$J$62=G16))&gt;0))&gt;0),COUNTIFS('Work Activity'!$C$3:$C$89,$A16,'Work Activity'!$G$3:$G$89,G16,'Work Activity'!$A$3:$A$89,"&lt;&gt;"&amp;$D16)&gt;0),"YELLOW: "&amp;G16&amp;" punya deadline project lain pada tanggal yang sama. ","")&amp;IF(AND(H16&lt;&gt;"",SUMPRODUCT(($A$3:$A$62=$A16)*($B$3:$B$62&lt;$C16)*($C$3:$C$62&gt;$B16)*(ROW($A$3:$A$62)&lt;&gt;ROW())*((($G$3:$G$62=H16)+($H$3:$H$62=H16)+($I$3:$I$62=H16)+($J$3:$J$62=H16))&gt;0))&gt;0),"RED: "&amp;H16&amp;" bentrok meeting. ","")&amp;IF(AND(H16&lt;&gt;"",NOT(SUMPRODUCT(($A$3:$A$62=$A16)*($B$3:$B$62&lt;$C16)*($C$3:$C$62&gt;$B16)*(ROW($A$3:$A$62)&lt;&gt;ROW())*((($G$3:$G$62=H16)+($H$3:$H$62=H16)+($I$3:$I$62=H16)+($J$3:$J$62=H16))&gt;0))&gt;0),COUNTIFS('Work Activity'!$C$3:$C$89,$A16,'Work Activity'!$G$3:$G$89,H16,'Work Activity'!$A$3:$A$89,"&lt;&gt;"&amp;$D16)&gt;0),"YELLOW: "&amp;H16&amp;" punya deadline project lain pada tanggal yang sama. ","")&amp;IF(AND(I16&lt;&gt;"",SUMPRODUCT(($A$3:$A$62=$A16)*($B$3:$B$62&lt;$C16)*($C$3:$C$62&gt;$B16)*(ROW($A$3:$A$62)&lt;&gt;ROW())*((($G$3:$G$62=I16)+($H$3:$H$62=I16)+($I$3:$I$62=I16)+($J$3:$J$62=I16))&gt;0))&gt;0),"RED: "&amp;I16&amp;" bentrok meeting. ","")&amp;IF(AND(I16&lt;&gt;"",NOT(SUMPRODUCT(($A$3:$A$62=$A16)*($B$3:$B$62&lt;$C16)*($C$3:$C$62&gt;$B16)*(ROW($A$3:$A$62)&lt;&gt;ROW())*((($G$3:$G$62=I16)+($H$3:$H$62=I16)+($I$3:$I$62=I16)+($J$3:$J$62=I16))&gt;0))&gt;0),COUNTIFS('Work Activity'!$C$3:$C$89,$A16,'Work Activity'!$G$3:$G$89,I16,'Work Activity'!$A$3:$A$89,"&lt;&gt;"&amp;$D16)&gt;0),"YELLOW: "&amp;I16&amp;" punya deadline project lain pada tanggal yang sama. ","")&amp;IF(AND(J16&lt;&gt;"",SUMPRODUCT(($A$3:$A$62=$A16)*($B$3:$B$62&lt;$C16)*($C$3:$C$62&gt;$B16)*(ROW($A$3:$A$62)&lt;&gt;ROW())*((($G$3:$G$62=J16)+($H$3:$H$62=J16)+($I$3:$I$62=J16)+($J$3:$J$62=J16))&gt;0))&gt;0),"RED: "&amp;J16&amp;" bentrok meeting. ","")&amp;IF(AND(J16&lt;&gt;"",NOT(SUMPRODUCT(($A$3:$A$62=$A16)*($B$3:$B$62&lt;$C16)*($C$3:$C$62&gt;$B16)*(ROW($A$3:$A$62)&lt;&gt;ROW())*((($G$3:$G$62=J16)+($H$3:$H$62=J16)+($I$3:$I$62=J16)+($J$3:$J$62=J16))&gt;0))&gt;0),COUNTIFS('Work Activity'!$C$3:$C$89,$A16,'Work Activity'!$G$3:$G$89,J16,'Work Activity'!$A$3:$A$89,"&lt;&gt;"&amp;$D16)&gt;0),"YELLOW: "&amp;J16&amp;" punya deadline project lain pada tanggal yang sama. ",""))</f>
        <v/>
      </c>
      <c r="N16"/>
      <c r="O16" t="str">
        <f t="shared" si="0"/>
        <v/>
      </c>
      <c r="P16" t="str">
        <f ca="1">IFERROR(INDEX('Staff Allocation'!$C$3:$C$62,_xludf.AGGREGATE(15,6,(ROW('Staff Allocation'!$C$3:$C$62)-ROW('Staff Allocation'!$C$3)+1)/(('Staff Allocation'!$A$3:$A$62=P$1)*('Staff Allocation'!$C$3:$C$62&lt;&gt;"")),ROWS(P$2:P16))),"")</f>
        <v/>
      </c>
      <c r="Q16" t="str">
        <f ca="1">IFERROR(INDEX('Staff Allocation'!$C$3:$C$62,_xludf.AGGREGATE(15,6,(ROW('Staff Allocation'!$C$3:$C$62)-ROW('Staff Allocation'!$C$3)+1)/(('Staff Allocation'!$A$3:$A$62=Q$1)*('Staff Allocation'!$C$3:$C$62&lt;&gt;"")),ROWS(Q$2:Q16))),"")</f>
        <v/>
      </c>
      <c r="R16" t="str">
        <f ca="1">IFERROR(INDEX('Staff Allocation'!$C$3:$C$62,_xludf.AGGREGATE(15,6,(ROW('Staff Allocation'!$C$3:$C$62)-ROW('Staff Allocation'!$C$3)+1)/(('Staff Allocation'!$A$3:$A$62=R$1)*('Staff Allocation'!$C$3:$C$62&lt;&gt;"")),ROWS(R$2:R16))),"")</f>
        <v/>
      </c>
      <c r="S16" t="str">
        <f ca="1">IFERROR(INDEX('Staff Allocation'!$C$3:$C$62,_xludf.AGGREGATE(15,6,(ROW('Staff Allocation'!$C$3:$C$62)-ROW('Staff Allocation'!$C$3)+1)/(('Staff Allocation'!$A$3:$A$62=S$1)*('Staff Allocation'!$C$3:$C$62&lt;&gt;"")),ROWS(S$2:S16))),"")</f>
        <v/>
      </c>
      <c r="T16" t="str">
        <f ca="1">IFERROR(INDEX('Staff Allocation'!$C$3:$C$62,_xludf.AGGREGATE(15,6,(ROW('Staff Allocation'!$C$3:$C$62)-ROW('Staff Allocation'!$C$3)+1)/(('Staff Allocation'!$A$3:$A$62=T$1)*('Staff Allocation'!$C$3:$C$62&lt;&gt;"")),ROWS(T$2:T16))),"")</f>
        <v/>
      </c>
      <c r="U16" t="str">
        <f ca="1">IFERROR(INDEX('Staff Allocation'!$C$3:$C$62,_xludf.AGGREGATE(15,6,(ROW('Staff Allocation'!$C$3:$C$62)-ROW('Staff Allocation'!$C$3)+1)/(('Staff Allocation'!$A$3:$A$62=U$1)*('Staff Allocation'!$C$3:$C$62&lt;&gt;"")),ROWS(U$2:U16))),"")</f>
        <v/>
      </c>
      <c r="V16" t="str">
        <f ca="1">IFERROR(INDEX('Staff Allocation'!$C$3:$C$62,_xludf.AGGREGATE(15,6,(ROW('Staff Allocation'!$C$3:$C$62)-ROW('Staff Allocation'!$C$3)+1)/(('Staff Allocation'!$A$3:$A$62=V$1)*('Staff Allocation'!$C$3:$C$62&lt;&gt;"")),ROWS(V$2:V16))),"")</f>
        <v/>
      </c>
      <c r="W16" t="str">
        <f ca="1">IFERROR(INDEX('Staff Allocation'!$C$3:$C$62,_xludf.AGGREGATE(15,6,(ROW('Staff Allocation'!$C$3:$C$62)-ROW('Staff Allocation'!$C$3)+1)/(('Staff Allocation'!$A$3:$A$62=W$1)*('Staff Allocation'!$C$3:$C$62&lt;&gt;"")),ROWS(W$2:W16))),"")</f>
        <v/>
      </c>
      <c r="X16" t="str">
        <f ca="1">IFERROR(INDEX('Staff Allocation'!$C$3:$C$62,_xludf.AGGREGATE(15,6,(ROW('Staff Allocation'!$C$3:$C$62)-ROW('Staff Allocation'!$C$3)+1)/(('Staff Allocation'!$A$3:$A$62=X$1)*('Staff Allocation'!$C$3:$C$62&lt;&gt;"")),ROWS(X$2:X16))),"")</f>
        <v/>
      </c>
      <c r="Y16" t="str">
        <f ca="1">IFERROR(INDEX('Staff Allocation'!$C$3:$C$62,_xludf.AGGREGATE(15,6,(ROW('Staff Allocation'!$C$3:$C$62)-ROW('Staff Allocation'!$C$3)+1)/(('Staff Allocation'!$A$3:$A$62=Y$1)*('Staff Allocation'!$C$3:$C$62&lt;&gt;"")),ROWS(Y$2:Y16))),"")</f>
        <v/>
      </c>
      <c r="Z16" t="str">
        <f ca="1">IFERROR(INDEX('Staff Allocation'!$C$3:$C$62,_xludf.AGGREGATE(15,6,(ROW('Staff Allocation'!$C$3:$C$62)-ROW('Staff Allocation'!$C$3)+1)/(('Staff Allocation'!$A$3:$A$62=Z$1)*('Staff Allocation'!$C$3:$C$62&lt;&gt;"")),ROWS(Z$2:Z16))),"")</f>
        <v/>
      </c>
      <c r="AA16" t="str">
        <f ca="1">IFERROR(INDEX('Staff Allocation'!$C$3:$C$62,_xludf.AGGREGATE(15,6,(ROW('Staff Allocation'!$C$3:$C$62)-ROW('Staff Allocation'!$C$3)+1)/(('Staff Allocation'!$A$3:$A$62=AA$1)*('Staff Allocation'!$C$3:$C$62&lt;&gt;"")),ROWS(AA$2:AA16))),"")</f>
        <v/>
      </c>
      <c r="AB16" t="str">
        <f ca="1">IFERROR(INDEX('Staff Allocation'!$C$3:$C$62,_xludf.AGGREGATE(15,6,(ROW('Staff Allocation'!$C$3:$C$62)-ROW('Staff Allocation'!$C$3)+1)/(('Staff Allocation'!$A$3:$A$62=AB$1)*('Staff Allocation'!$C$3:$C$62&lt;&gt;"")),ROWS(AB$2:AB16))),"")</f>
        <v/>
      </c>
      <c r="AC16" t="str">
        <f ca="1">IFERROR(INDEX('Staff Allocation'!$C$3:$C$62,_xludf.AGGREGATE(15,6,(ROW('Staff Allocation'!$C$3:$C$62)-ROW('Staff Allocation'!$C$3)+1)/(('Staff Allocation'!$A$3:$A$62=AC$1)*('Staff Allocation'!$C$3:$C$62&lt;&gt;"")),ROWS(AC$2:AC16))),"")</f>
        <v/>
      </c>
      <c r="AD16" t="str">
        <f ca="1">IFERROR(INDEX('Staff Allocation'!$C$3:$C$62,_xludf.AGGREGATE(15,6,(ROW('Staff Allocation'!$C$3:$C$62)-ROW('Staff Allocation'!$C$3)+1)/(('Staff Allocation'!$A$3:$A$62=AD$1)*('Staff Allocation'!$C$3:$C$62&lt;&gt;"")),ROWS(AD$2:AD16))),"")</f>
        <v/>
      </c>
    </row>
    <row r="17" spans="1:30">
      <c r="A17" s="9"/>
      <c r="B17" s="12"/>
      <c r="C17" s="12"/>
      <c r="E17" t="str">
        <f>IFERROR(INDEX(Setup!$I$3:$I$17,MATCH($D17,Setup!$H$3:$H$17,0)),"")</f>
        <v/>
      </c>
      <c r="L17" t="str">
        <f>IF(OR(AND(G17&lt;&gt;"",SUMPRODUCT(($A$3:$A$62=$A17)*($B$3:$B$62&lt;$C17)*($C$3:$C$62&gt;$B17)*(ROW($A$3:$A$62)&lt;&gt;ROW())*((($G$3:$G$62=G17)+($H$3:$H$62=G17)+($I$3:$I$62=G17)+($J$3:$J$62=G17))&gt;0))&gt;0),AND(H17&lt;&gt;"",SUMPRODUCT(($A$3:$A$62=$A17)*($B$3:$B$62&lt;$C17)*($C$3:$C$62&gt;$B17)*(ROW($A$3:$A$62)&lt;&gt;ROW())*((($G$3:$G$62=H17)+($H$3:$H$62=H17)+($I$3:$I$62=H17)+($J$3:$J$62=H17))&gt;0))&gt;0),AND(I17&lt;&gt;"",SUMPRODUCT(($A$3:$A$62=$A17)*($B$3:$B$62&lt;$C17)*($C$3:$C$62&gt;$B17)*(ROW($A$3:$A$62)&lt;&gt;ROW())*((($G$3:$G$62=I17)+($H$3:$H$62=I17)+($I$3:$I$62=I17)+($J$3:$J$62=I17))&gt;0))&gt;0),AND(J17&lt;&gt;"",SUMPRODUCT(($A$3:$A$62=$A17)*($B$3:$B$62&lt;$C17)*($C$3:$C$62&gt;$B17)*(ROW($A$3:$A$62)&lt;&gt;ROW())*((($G$3:$G$62=J17)+($H$3:$H$62=J17)+($I$3:$I$62=J17)+($J$3:$J$62=J17))&gt;0))&gt;0)),"RED - MEETING CLASH",IF(OR(AND(G17&lt;&gt;"",COUNTIFS('Work Activity'!$C$3:$C$89,$A17,'Work Activity'!$G$3:$G$89,G17,'Work Activity'!$A$3:$A$89,"&lt;&gt;"&amp;$D17)&gt;0),AND(H17&lt;&gt;"",COUNTIFS('Work Activity'!$C$3:$C$89,$A17,'Work Activity'!$G$3:$G$89,H17,'Work Activity'!$A$3:$A$89,"&lt;&gt;"&amp;$D17)&gt;0),AND(I17&lt;&gt;"",COUNTIFS('Work Activity'!$C$3:$C$89,$A17,'Work Activity'!$G$3:$G$89,I17,'Work Activity'!$A$3:$A$89,"&lt;&gt;"&amp;$D17)&gt;0),AND(J17&lt;&gt;"",COUNTIFS('Work Activity'!$C$3:$C$89,$A17,'Work Activity'!$G$3:$G$89,J17,'Work Activity'!$A$3:$A$89,"&lt;&gt;"&amp;$D17)&gt;0)),"YELLOW - DEADLINE CHECK","CLEAR"))</f>
        <v>CLEAR</v>
      </c>
      <c r="M17" t="str">
        <f>TRIM(IF(AND(G17&lt;&gt;"",SUMPRODUCT(($A$3:$A$62=$A17)*($B$3:$B$62&lt;$C17)*($C$3:$C$62&gt;$B17)*(ROW($A$3:$A$62)&lt;&gt;ROW())*((($G$3:$G$62=G17)+($H$3:$H$62=G17)+($I$3:$I$62=G17)+($J$3:$J$62=G17))&gt;0))&gt;0),"RED: "&amp;G17&amp;" bentrok meeting. ","")&amp;IF(AND(G17&lt;&gt;"",NOT(SUMPRODUCT(($A$3:$A$62=$A17)*($B$3:$B$62&lt;$C17)*($C$3:$C$62&gt;$B17)*(ROW($A$3:$A$62)&lt;&gt;ROW())*((($G$3:$G$62=G17)+($H$3:$H$62=G17)+($I$3:$I$62=G17)+($J$3:$J$62=G17))&gt;0))&gt;0),COUNTIFS('Work Activity'!$C$3:$C$89,$A17,'Work Activity'!$G$3:$G$89,G17,'Work Activity'!$A$3:$A$89,"&lt;&gt;"&amp;$D17)&gt;0),"YELLOW: "&amp;G17&amp;" punya deadline project lain pada tanggal yang sama. ","")&amp;IF(AND(H17&lt;&gt;"",SUMPRODUCT(($A$3:$A$62=$A17)*($B$3:$B$62&lt;$C17)*($C$3:$C$62&gt;$B17)*(ROW($A$3:$A$62)&lt;&gt;ROW())*((($G$3:$G$62=H17)+($H$3:$H$62=H17)+($I$3:$I$62=H17)+($J$3:$J$62=H17))&gt;0))&gt;0),"RED: "&amp;H17&amp;" bentrok meeting. ","")&amp;IF(AND(H17&lt;&gt;"",NOT(SUMPRODUCT(($A$3:$A$62=$A17)*($B$3:$B$62&lt;$C17)*($C$3:$C$62&gt;$B17)*(ROW($A$3:$A$62)&lt;&gt;ROW())*((($G$3:$G$62=H17)+($H$3:$H$62=H17)+($I$3:$I$62=H17)+($J$3:$J$62=H17))&gt;0))&gt;0),COUNTIFS('Work Activity'!$C$3:$C$89,$A17,'Work Activity'!$G$3:$G$89,H17,'Work Activity'!$A$3:$A$89,"&lt;&gt;"&amp;$D17)&gt;0),"YELLOW: "&amp;H17&amp;" punya deadline project lain pada tanggal yang sama. ","")&amp;IF(AND(I17&lt;&gt;"",SUMPRODUCT(($A$3:$A$62=$A17)*($B$3:$B$62&lt;$C17)*($C$3:$C$62&gt;$B17)*(ROW($A$3:$A$62)&lt;&gt;ROW())*((($G$3:$G$62=I17)+($H$3:$H$62=I17)+($I$3:$I$62=I17)+($J$3:$J$62=I17))&gt;0))&gt;0),"RED: "&amp;I17&amp;" bentrok meeting. ","")&amp;IF(AND(I17&lt;&gt;"",NOT(SUMPRODUCT(($A$3:$A$62=$A17)*($B$3:$B$62&lt;$C17)*($C$3:$C$62&gt;$B17)*(ROW($A$3:$A$62)&lt;&gt;ROW())*((($G$3:$G$62=I17)+($H$3:$H$62=I17)+($I$3:$I$62=I17)+($J$3:$J$62=I17))&gt;0))&gt;0),COUNTIFS('Work Activity'!$C$3:$C$89,$A17,'Work Activity'!$G$3:$G$89,I17,'Work Activity'!$A$3:$A$89,"&lt;&gt;"&amp;$D17)&gt;0),"YELLOW: "&amp;I17&amp;" punya deadline project lain pada tanggal yang sama. ","")&amp;IF(AND(J17&lt;&gt;"",SUMPRODUCT(($A$3:$A$62=$A17)*($B$3:$B$62&lt;$C17)*($C$3:$C$62&gt;$B17)*(ROW($A$3:$A$62)&lt;&gt;ROW())*((($G$3:$G$62=J17)+($H$3:$H$62=J17)+($I$3:$I$62=J17)+($J$3:$J$62=J17))&gt;0))&gt;0),"RED: "&amp;J17&amp;" bentrok meeting. ","")&amp;IF(AND(J17&lt;&gt;"",NOT(SUMPRODUCT(($A$3:$A$62=$A17)*($B$3:$B$62&lt;$C17)*($C$3:$C$62&gt;$B17)*(ROW($A$3:$A$62)&lt;&gt;ROW())*((($G$3:$G$62=J17)+($H$3:$H$62=J17)+($I$3:$I$62=J17)+($J$3:$J$62=J17))&gt;0))&gt;0),COUNTIFS('Work Activity'!$C$3:$C$89,$A17,'Work Activity'!$G$3:$G$89,J17,'Work Activity'!$A$3:$A$89,"&lt;&gt;"&amp;$D17)&gt;0),"YELLOW: "&amp;J17&amp;" punya deadline project lain pada tanggal yang sama. ",""))</f>
        <v/>
      </c>
      <c r="O17" t="str">
        <f t="shared" si="0"/>
        <v/>
      </c>
      <c r="P17" t="str">
        <f ca="1">IFERROR(INDEX('Staff Allocation'!$C$3:$C$62,_xludf.AGGREGATE(15,6,(ROW('Staff Allocation'!$C$3:$C$62)-ROW('Staff Allocation'!$C$3)+1)/(('Staff Allocation'!$A$3:$A$62=P$1)*('Staff Allocation'!$C$3:$C$62&lt;&gt;"")),ROWS(P$2:P17))),"")</f>
        <v/>
      </c>
      <c r="Q17" t="str">
        <f ca="1">IFERROR(INDEX('Staff Allocation'!$C$3:$C$62,_xludf.AGGREGATE(15,6,(ROW('Staff Allocation'!$C$3:$C$62)-ROW('Staff Allocation'!$C$3)+1)/(('Staff Allocation'!$A$3:$A$62=Q$1)*('Staff Allocation'!$C$3:$C$62&lt;&gt;"")),ROWS(Q$2:Q17))),"")</f>
        <v/>
      </c>
      <c r="R17" t="str">
        <f ca="1">IFERROR(INDEX('Staff Allocation'!$C$3:$C$62,_xludf.AGGREGATE(15,6,(ROW('Staff Allocation'!$C$3:$C$62)-ROW('Staff Allocation'!$C$3)+1)/(('Staff Allocation'!$A$3:$A$62=R$1)*('Staff Allocation'!$C$3:$C$62&lt;&gt;"")),ROWS(R$2:R17))),"")</f>
        <v/>
      </c>
      <c r="S17" t="str">
        <f ca="1">IFERROR(INDEX('Staff Allocation'!$C$3:$C$62,_xludf.AGGREGATE(15,6,(ROW('Staff Allocation'!$C$3:$C$62)-ROW('Staff Allocation'!$C$3)+1)/(('Staff Allocation'!$A$3:$A$62=S$1)*('Staff Allocation'!$C$3:$C$62&lt;&gt;"")),ROWS(S$2:S17))),"")</f>
        <v/>
      </c>
      <c r="T17" t="str">
        <f ca="1">IFERROR(INDEX('Staff Allocation'!$C$3:$C$62,_xludf.AGGREGATE(15,6,(ROW('Staff Allocation'!$C$3:$C$62)-ROW('Staff Allocation'!$C$3)+1)/(('Staff Allocation'!$A$3:$A$62=T$1)*('Staff Allocation'!$C$3:$C$62&lt;&gt;"")),ROWS(T$2:T17))),"")</f>
        <v/>
      </c>
      <c r="U17" t="str">
        <f ca="1">IFERROR(INDEX('Staff Allocation'!$C$3:$C$62,_xludf.AGGREGATE(15,6,(ROW('Staff Allocation'!$C$3:$C$62)-ROW('Staff Allocation'!$C$3)+1)/(('Staff Allocation'!$A$3:$A$62=U$1)*('Staff Allocation'!$C$3:$C$62&lt;&gt;"")),ROWS(U$2:U17))),"")</f>
        <v/>
      </c>
      <c r="V17" t="str">
        <f ca="1">IFERROR(INDEX('Staff Allocation'!$C$3:$C$62,_xludf.AGGREGATE(15,6,(ROW('Staff Allocation'!$C$3:$C$62)-ROW('Staff Allocation'!$C$3)+1)/(('Staff Allocation'!$A$3:$A$62=V$1)*('Staff Allocation'!$C$3:$C$62&lt;&gt;"")),ROWS(V$2:V17))),"")</f>
        <v/>
      </c>
      <c r="W17" t="str">
        <f ca="1">IFERROR(INDEX('Staff Allocation'!$C$3:$C$62,_xludf.AGGREGATE(15,6,(ROW('Staff Allocation'!$C$3:$C$62)-ROW('Staff Allocation'!$C$3)+1)/(('Staff Allocation'!$A$3:$A$62=W$1)*('Staff Allocation'!$C$3:$C$62&lt;&gt;"")),ROWS(W$2:W17))),"")</f>
        <v/>
      </c>
      <c r="X17" t="str">
        <f ca="1">IFERROR(INDEX('Staff Allocation'!$C$3:$C$62,_xludf.AGGREGATE(15,6,(ROW('Staff Allocation'!$C$3:$C$62)-ROW('Staff Allocation'!$C$3)+1)/(('Staff Allocation'!$A$3:$A$62=X$1)*('Staff Allocation'!$C$3:$C$62&lt;&gt;"")),ROWS(X$2:X17))),"")</f>
        <v/>
      </c>
      <c r="Y17" t="str">
        <f ca="1">IFERROR(INDEX('Staff Allocation'!$C$3:$C$62,_xludf.AGGREGATE(15,6,(ROW('Staff Allocation'!$C$3:$C$62)-ROW('Staff Allocation'!$C$3)+1)/(('Staff Allocation'!$A$3:$A$62=Y$1)*('Staff Allocation'!$C$3:$C$62&lt;&gt;"")),ROWS(Y$2:Y17))),"")</f>
        <v/>
      </c>
      <c r="Z17" t="str">
        <f ca="1">IFERROR(INDEX('Staff Allocation'!$C$3:$C$62,_xludf.AGGREGATE(15,6,(ROW('Staff Allocation'!$C$3:$C$62)-ROW('Staff Allocation'!$C$3)+1)/(('Staff Allocation'!$A$3:$A$62=Z$1)*('Staff Allocation'!$C$3:$C$62&lt;&gt;"")),ROWS(Z$2:Z17))),"")</f>
        <v/>
      </c>
      <c r="AA17" t="str">
        <f ca="1">IFERROR(INDEX('Staff Allocation'!$C$3:$C$62,_xludf.AGGREGATE(15,6,(ROW('Staff Allocation'!$C$3:$C$62)-ROW('Staff Allocation'!$C$3)+1)/(('Staff Allocation'!$A$3:$A$62=AA$1)*('Staff Allocation'!$C$3:$C$62&lt;&gt;"")),ROWS(AA$2:AA17))),"")</f>
        <v/>
      </c>
      <c r="AB17" t="str">
        <f ca="1">IFERROR(INDEX('Staff Allocation'!$C$3:$C$62,_xludf.AGGREGATE(15,6,(ROW('Staff Allocation'!$C$3:$C$62)-ROW('Staff Allocation'!$C$3)+1)/(('Staff Allocation'!$A$3:$A$62=AB$1)*('Staff Allocation'!$C$3:$C$62&lt;&gt;"")),ROWS(AB$2:AB17))),"")</f>
        <v/>
      </c>
      <c r="AC17" t="str">
        <f ca="1">IFERROR(INDEX('Staff Allocation'!$C$3:$C$62,_xludf.AGGREGATE(15,6,(ROW('Staff Allocation'!$C$3:$C$62)-ROW('Staff Allocation'!$C$3)+1)/(('Staff Allocation'!$A$3:$A$62=AC$1)*('Staff Allocation'!$C$3:$C$62&lt;&gt;"")),ROWS(AC$2:AC17))),"")</f>
        <v/>
      </c>
      <c r="AD17" t="str">
        <f ca="1">IFERROR(INDEX('Staff Allocation'!$C$3:$C$62,_xludf.AGGREGATE(15,6,(ROW('Staff Allocation'!$C$3:$C$62)-ROW('Staff Allocation'!$C$3)+1)/(('Staff Allocation'!$A$3:$A$62=AD$1)*('Staff Allocation'!$C$3:$C$62&lt;&gt;"")),ROWS(AD$2:AD17))),"")</f>
        <v/>
      </c>
    </row>
    <row r="18" spans="1:30">
      <c r="A18" s="9"/>
      <c r="B18" s="12"/>
      <c r="C18" s="12"/>
      <c r="E18" t="str">
        <f>IFERROR(INDEX(Setup!$I$3:$I$17,MATCH($D18,Setup!$H$3:$H$17,0)),"")</f>
        <v/>
      </c>
      <c r="L18" t="str">
        <f>IF(OR(AND(G18&lt;&gt;"",SUMPRODUCT(($A$3:$A$62=$A18)*($B$3:$B$62&lt;$C18)*($C$3:$C$62&gt;$B18)*(ROW($A$3:$A$62)&lt;&gt;ROW())*((($G$3:$G$62=G18)+($H$3:$H$62=G18)+($I$3:$I$62=G18)+($J$3:$J$62=G18))&gt;0))&gt;0),AND(H18&lt;&gt;"",SUMPRODUCT(($A$3:$A$62=$A18)*($B$3:$B$62&lt;$C18)*($C$3:$C$62&gt;$B18)*(ROW($A$3:$A$62)&lt;&gt;ROW())*((($G$3:$G$62=H18)+($H$3:$H$62=H18)+($I$3:$I$62=H18)+($J$3:$J$62=H18))&gt;0))&gt;0),AND(I18&lt;&gt;"",SUMPRODUCT(($A$3:$A$62=$A18)*($B$3:$B$62&lt;$C18)*($C$3:$C$62&gt;$B18)*(ROW($A$3:$A$62)&lt;&gt;ROW())*((($G$3:$G$62=I18)+($H$3:$H$62=I18)+($I$3:$I$62=I18)+($J$3:$J$62=I18))&gt;0))&gt;0),AND(J18&lt;&gt;"",SUMPRODUCT(($A$3:$A$62=$A18)*($B$3:$B$62&lt;$C18)*($C$3:$C$62&gt;$B18)*(ROW($A$3:$A$62)&lt;&gt;ROW())*((($G$3:$G$62=J18)+($H$3:$H$62=J18)+($I$3:$I$62=J18)+($J$3:$J$62=J18))&gt;0))&gt;0)),"RED - MEETING CLASH",IF(OR(AND(G18&lt;&gt;"",COUNTIFS('Work Activity'!$C$3:$C$89,$A18,'Work Activity'!$G$3:$G$89,G18,'Work Activity'!$A$3:$A$89,"&lt;&gt;"&amp;$D18)&gt;0),AND(H18&lt;&gt;"",COUNTIFS('Work Activity'!$C$3:$C$89,$A18,'Work Activity'!$G$3:$G$89,H18,'Work Activity'!$A$3:$A$89,"&lt;&gt;"&amp;$D18)&gt;0),AND(I18&lt;&gt;"",COUNTIFS('Work Activity'!$C$3:$C$89,$A18,'Work Activity'!$G$3:$G$89,I18,'Work Activity'!$A$3:$A$89,"&lt;&gt;"&amp;$D18)&gt;0),AND(J18&lt;&gt;"",COUNTIFS('Work Activity'!$C$3:$C$89,$A18,'Work Activity'!$G$3:$G$89,J18,'Work Activity'!$A$3:$A$89,"&lt;&gt;"&amp;$D18)&gt;0)),"YELLOW - DEADLINE CHECK","CLEAR"))</f>
        <v>CLEAR</v>
      </c>
      <c r="M18" t="str">
        <f>TRIM(IF(AND(G18&lt;&gt;"",SUMPRODUCT(($A$3:$A$62=$A18)*($B$3:$B$62&lt;$C18)*($C$3:$C$62&gt;$B18)*(ROW($A$3:$A$62)&lt;&gt;ROW())*((($G$3:$G$62=G18)+($H$3:$H$62=G18)+($I$3:$I$62=G18)+($J$3:$J$62=G18))&gt;0))&gt;0),"RED: "&amp;G18&amp;" bentrok meeting. ","")&amp;IF(AND(G18&lt;&gt;"",NOT(SUMPRODUCT(($A$3:$A$62=$A18)*($B$3:$B$62&lt;$C18)*($C$3:$C$62&gt;$B18)*(ROW($A$3:$A$62)&lt;&gt;ROW())*((($G$3:$G$62=G18)+($H$3:$H$62=G18)+($I$3:$I$62=G18)+($J$3:$J$62=G18))&gt;0))&gt;0),COUNTIFS('Work Activity'!$C$3:$C$89,$A18,'Work Activity'!$G$3:$G$89,G18,'Work Activity'!$A$3:$A$89,"&lt;&gt;"&amp;$D18)&gt;0),"YELLOW: "&amp;G18&amp;" punya deadline project lain pada tanggal yang sama. ","")&amp;IF(AND(H18&lt;&gt;"",SUMPRODUCT(($A$3:$A$62=$A18)*($B$3:$B$62&lt;$C18)*($C$3:$C$62&gt;$B18)*(ROW($A$3:$A$62)&lt;&gt;ROW())*((($G$3:$G$62=H18)+($H$3:$H$62=H18)+($I$3:$I$62=H18)+($J$3:$J$62=H18))&gt;0))&gt;0),"RED: "&amp;H18&amp;" bentrok meeting. ","")&amp;IF(AND(H18&lt;&gt;"",NOT(SUMPRODUCT(($A$3:$A$62=$A18)*($B$3:$B$62&lt;$C18)*($C$3:$C$62&gt;$B18)*(ROW($A$3:$A$62)&lt;&gt;ROW())*((($G$3:$G$62=H18)+($H$3:$H$62=H18)+($I$3:$I$62=H18)+($J$3:$J$62=H18))&gt;0))&gt;0),COUNTIFS('Work Activity'!$C$3:$C$89,$A18,'Work Activity'!$G$3:$G$89,H18,'Work Activity'!$A$3:$A$89,"&lt;&gt;"&amp;$D18)&gt;0),"YELLOW: "&amp;H18&amp;" punya deadline project lain pada tanggal yang sama. ","")&amp;IF(AND(I18&lt;&gt;"",SUMPRODUCT(($A$3:$A$62=$A18)*($B$3:$B$62&lt;$C18)*($C$3:$C$62&gt;$B18)*(ROW($A$3:$A$62)&lt;&gt;ROW())*((($G$3:$G$62=I18)+($H$3:$H$62=I18)+($I$3:$I$62=I18)+($J$3:$J$62=I18))&gt;0))&gt;0),"RED: "&amp;I18&amp;" bentrok meeting. ","")&amp;IF(AND(I18&lt;&gt;"",NOT(SUMPRODUCT(($A$3:$A$62=$A18)*($B$3:$B$62&lt;$C18)*($C$3:$C$62&gt;$B18)*(ROW($A$3:$A$62)&lt;&gt;ROW())*((($G$3:$G$62=I18)+($H$3:$H$62=I18)+($I$3:$I$62=I18)+($J$3:$J$62=I18))&gt;0))&gt;0),COUNTIFS('Work Activity'!$C$3:$C$89,$A18,'Work Activity'!$G$3:$G$89,I18,'Work Activity'!$A$3:$A$89,"&lt;&gt;"&amp;$D18)&gt;0),"YELLOW: "&amp;I18&amp;" punya deadline project lain pada tanggal yang sama. ","")&amp;IF(AND(J18&lt;&gt;"",SUMPRODUCT(($A$3:$A$62=$A18)*($B$3:$B$62&lt;$C18)*($C$3:$C$62&gt;$B18)*(ROW($A$3:$A$62)&lt;&gt;ROW())*((($G$3:$G$62=J18)+($H$3:$H$62=J18)+($I$3:$I$62=J18)+($J$3:$J$62=J18))&gt;0))&gt;0),"RED: "&amp;J18&amp;" bentrok meeting. ","")&amp;IF(AND(J18&lt;&gt;"",NOT(SUMPRODUCT(($A$3:$A$62=$A18)*($B$3:$B$62&lt;$C18)*($C$3:$C$62&gt;$B18)*(ROW($A$3:$A$62)&lt;&gt;ROW())*((($G$3:$G$62=J18)+($H$3:$H$62=J18)+($I$3:$I$62=J18)+($J$3:$J$62=J18))&gt;0))&gt;0),COUNTIFS('Work Activity'!$C$3:$C$89,$A18,'Work Activity'!$G$3:$G$89,J18,'Work Activity'!$A$3:$A$89,"&lt;&gt;"&amp;$D18)&gt;0),"YELLOW: "&amp;J18&amp;" punya deadline project lain pada tanggal yang sama. ",""))</f>
        <v/>
      </c>
      <c r="O18" t="str">
        <f t="shared" si="0"/>
        <v/>
      </c>
      <c r="P18" t="str">
        <f ca="1">IFERROR(INDEX('Staff Allocation'!$C$3:$C$62,_xludf.AGGREGATE(15,6,(ROW('Staff Allocation'!$C$3:$C$62)-ROW('Staff Allocation'!$C$3)+1)/(('Staff Allocation'!$A$3:$A$62=P$1)*('Staff Allocation'!$C$3:$C$62&lt;&gt;"")),ROWS(P$2:P18))),"")</f>
        <v/>
      </c>
      <c r="Q18" t="str">
        <f ca="1">IFERROR(INDEX('Staff Allocation'!$C$3:$C$62,_xludf.AGGREGATE(15,6,(ROW('Staff Allocation'!$C$3:$C$62)-ROW('Staff Allocation'!$C$3)+1)/(('Staff Allocation'!$A$3:$A$62=Q$1)*('Staff Allocation'!$C$3:$C$62&lt;&gt;"")),ROWS(Q$2:Q18))),"")</f>
        <v/>
      </c>
      <c r="R18" t="str">
        <f ca="1">IFERROR(INDEX('Staff Allocation'!$C$3:$C$62,_xludf.AGGREGATE(15,6,(ROW('Staff Allocation'!$C$3:$C$62)-ROW('Staff Allocation'!$C$3)+1)/(('Staff Allocation'!$A$3:$A$62=R$1)*('Staff Allocation'!$C$3:$C$62&lt;&gt;"")),ROWS(R$2:R18))),"")</f>
        <v/>
      </c>
      <c r="S18" t="str">
        <f ca="1">IFERROR(INDEX('Staff Allocation'!$C$3:$C$62,_xludf.AGGREGATE(15,6,(ROW('Staff Allocation'!$C$3:$C$62)-ROW('Staff Allocation'!$C$3)+1)/(('Staff Allocation'!$A$3:$A$62=S$1)*('Staff Allocation'!$C$3:$C$62&lt;&gt;"")),ROWS(S$2:S18))),"")</f>
        <v/>
      </c>
      <c r="T18" t="str">
        <f ca="1">IFERROR(INDEX('Staff Allocation'!$C$3:$C$62,_xludf.AGGREGATE(15,6,(ROW('Staff Allocation'!$C$3:$C$62)-ROW('Staff Allocation'!$C$3)+1)/(('Staff Allocation'!$A$3:$A$62=T$1)*('Staff Allocation'!$C$3:$C$62&lt;&gt;"")),ROWS(T$2:T18))),"")</f>
        <v/>
      </c>
      <c r="U18" t="str">
        <f ca="1">IFERROR(INDEX('Staff Allocation'!$C$3:$C$62,_xludf.AGGREGATE(15,6,(ROW('Staff Allocation'!$C$3:$C$62)-ROW('Staff Allocation'!$C$3)+1)/(('Staff Allocation'!$A$3:$A$62=U$1)*('Staff Allocation'!$C$3:$C$62&lt;&gt;"")),ROWS(U$2:U18))),"")</f>
        <v/>
      </c>
      <c r="V18" t="str">
        <f ca="1">IFERROR(INDEX('Staff Allocation'!$C$3:$C$62,_xludf.AGGREGATE(15,6,(ROW('Staff Allocation'!$C$3:$C$62)-ROW('Staff Allocation'!$C$3)+1)/(('Staff Allocation'!$A$3:$A$62=V$1)*('Staff Allocation'!$C$3:$C$62&lt;&gt;"")),ROWS(V$2:V18))),"")</f>
        <v/>
      </c>
      <c r="W18" t="str">
        <f ca="1">IFERROR(INDEX('Staff Allocation'!$C$3:$C$62,_xludf.AGGREGATE(15,6,(ROW('Staff Allocation'!$C$3:$C$62)-ROW('Staff Allocation'!$C$3)+1)/(('Staff Allocation'!$A$3:$A$62=W$1)*('Staff Allocation'!$C$3:$C$62&lt;&gt;"")),ROWS(W$2:W18))),"")</f>
        <v/>
      </c>
      <c r="X18" t="str">
        <f ca="1">IFERROR(INDEX('Staff Allocation'!$C$3:$C$62,_xludf.AGGREGATE(15,6,(ROW('Staff Allocation'!$C$3:$C$62)-ROW('Staff Allocation'!$C$3)+1)/(('Staff Allocation'!$A$3:$A$62=X$1)*('Staff Allocation'!$C$3:$C$62&lt;&gt;"")),ROWS(X$2:X18))),"")</f>
        <v/>
      </c>
      <c r="Y18" t="str">
        <f ca="1">IFERROR(INDEX('Staff Allocation'!$C$3:$C$62,_xludf.AGGREGATE(15,6,(ROW('Staff Allocation'!$C$3:$C$62)-ROW('Staff Allocation'!$C$3)+1)/(('Staff Allocation'!$A$3:$A$62=Y$1)*('Staff Allocation'!$C$3:$C$62&lt;&gt;"")),ROWS(Y$2:Y18))),"")</f>
        <v/>
      </c>
      <c r="Z18" t="str">
        <f ca="1">IFERROR(INDEX('Staff Allocation'!$C$3:$C$62,_xludf.AGGREGATE(15,6,(ROW('Staff Allocation'!$C$3:$C$62)-ROW('Staff Allocation'!$C$3)+1)/(('Staff Allocation'!$A$3:$A$62=Z$1)*('Staff Allocation'!$C$3:$C$62&lt;&gt;"")),ROWS(Z$2:Z18))),"")</f>
        <v/>
      </c>
      <c r="AA18" t="str">
        <f ca="1">IFERROR(INDEX('Staff Allocation'!$C$3:$C$62,_xludf.AGGREGATE(15,6,(ROW('Staff Allocation'!$C$3:$C$62)-ROW('Staff Allocation'!$C$3)+1)/(('Staff Allocation'!$A$3:$A$62=AA$1)*('Staff Allocation'!$C$3:$C$62&lt;&gt;"")),ROWS(AA$2:AA18))),"")</f>
        <v/>
      </c>
      <c r="AB18" t="str">
        <f ca="1">IFERROR(INDEX('Staff Allocation'!$C$3:$C$62,_xludf.AGGREGATE(15,6,(ROW('Staff Allocation'!$C$3:$C$62)-ROW('Staff Allocation'!$C$3)+1)/(('Staff Allocation'!$A$3:$A$62=AB$1)*('Staff Allocation'!$C$3:$C$62&lt;&gt;"")),ROWS(AB$2:AB18))),"")</f>
        <v/>
      </c>
      <c r="AC18" t="str">
        <f ca="1">IFERROR(INDEX('Staff Allocation'!$C$3:$C$62,_xludf.AGGREGATE(15,6,(ROW('Staff Allocation'!$C$3:$C$62)-ROW('Staff Allocation'!$C$3)+1)/(('Staff Allocation'!$A$3:$A$62=AC$1)*('Staff Allocation'!$C$3:$C$62&lt;&gt;"")),ROWS(AC$2:AC18))),"")</f>
        <v/>
      </c>
      <c r="AD18" t="str">
        <f ca="1">IFERROR(INDEX('Staff Allocation'!$C$3:$C$62,_xludf.AGGREGATE(15,6,(ROW('Staff Allocation'!$C$3:$C$62)-ROW('Staff Allocation'!$C$3)+1)/(('Staff Allocation'!$A$3:$A$62=AD$1)*('Staff Allocation'!$C$3:$C$62&lt;&gt;"")),ROWS(AD$2:AD18))),"")</f>
        <v/>
      </c>
    </row>
    <row r="19" spans="1:30">
      <c r="A19" s="9"/>
      <c r="B19" s="12"/>
      <c r="C19" s="12"/>
      <c r="E19" t="str">
        <f>IFERROR(INDEX(Setup!$I$3:$I$17,MATCH($D19,Setup!$H$3:$H$17,0)),"")</f>
        <v/>
      </c>
      <c r="L19" t="str">
        <f>IF(OR(AND(G19&lt;&gt;"",SUMPRODUCT(($A$3:$A$62=$A19)*($B$3:$B$62&lt;$C19)*($C$3:$C$62&gt;$B19)*(ROW($A$3:$A$62)&lt;&gt;ROW())*((($G$3:$G$62=G19)+($H$3:$H$62=G19)+($I$3:$I$62=G19)+($J$3:$J$62=G19))&gt;0))&gt;0),AND(H19&lt;&gt;"",SUMPRODUCT(($A$3:$A$62=$A19)*($B$3:$B$62&lt;$C19)*($C$3:$C$62&gt;$B19)*(ROW($A$3:$A$62)&lt;&gt;ROW())*((($G$3:$G$62=H19)+($H$3:$H$62=H19)+($I$3:$I$62=H19)+($J$3:$J$62=H19))&gt;0))&gt;0),AND(I19&lt;&gt;"",SUMPRODUCT(($A$3:$A$62=$A19)*($B$3:$B$62&lt;$C19)*($C$3:$C$62&gt;$B19)*(ROW($A$3:$A$62)&lt;&gt;ROW())*((($G$3:$G$62=I19)+($H$3:$H$62=I19)+($I$3:$I$62=I19)+($J$3:$J$62=I19))&gt;0))&gt;0),AND(J19&lt;&gt;"",SUMPRODUCT(($A$3:$A$62=$A19)*($B$3:$B$62&lt;$C19)*($C$3:$C$62&gt;$B19)*(ROW($A$3:$A$62)&lt;&gt;ROW())*((($G$3:$G$62=J19)+($H$3:$H$62=J19)+($I$3:$I$62=J19)+($J$3:$J$62=J19))&gt;0))&gt;0)),"RED - MEETING CLASH",IF(OR(AND(G19&lt;&gt;"",COUNTIFS('Work Activity'!$C$3:$C$89,$A19,'Work Activity'!$G$3:$G$89,G19,'Work Activity'!$A$3:$A$89,"&lt;&gt;"&amp;$D19)&gt;0),AND(H19&lt;&gt;"",COUNTIFS('Work Activity'!$C$3:$C$89,$A19,'Work Activity'!$G$3:$G$89,H19,'Work Activity'!$A$3:$A$89,"&lt;&gt;"&amp;$D19)&gt;0),AND(I19&lt;&gt;"",COUNTIFS('Work Activity'!$C$3:$C$89,$A19,'Work Activity'!$G$3:$G$89,I19,'Work Activity'!$A$3:$A$89,"&lt;&gt;"&amp;$D19)&gt;0),AND(J19&lt;&gt;"",COUNTIFS('Work Activity'!$C$3:$C$89,$A19,'Work Activity'!$G$3:$G$89,J19,'Work Activity'!$A$3:$A$89,"&lt;&gt;"&amp;$D19)&gt;0)),"YELLOW - DEADLINE CHECK","CLEAR"))</f>
        <v>CLEAR</v>
      </c>
      <c r="M19" t="str">
        <f>TRIM(IF(AND(G19&lt;&gt;"",SUMPRODUCT(($A$3:$A$62=$A19)*($B$3:$B$62&lt;$C19)*($C$3:$C$62&gt;$B19)*(ROW($A$3:$A$62)&lt;&gt;ROW())*((($G$3:$G$62=G19)+($H$3:$H$62=G19)+($I$3:$I$62=G19)+($J$3:$J$62=G19))&gt;0))&gt;0),"RED: "&amp;G19&amp;" bentrok meeting. ","")&amp;IF(AND(G19&lt;&gt;"",NOT(SUMPRODUCT(($A$3:$A$62=$A19)*($B$3:$B$62&lt;$C19)*($C$3:$C$62&gt;$B19)*(ROW($A$3:$A$62)&lt;&gt;ROW())*((($G$3:$G$62=G19)+($H$3:$H$62=G19)+($I$3:$I$62=G19)+($J$3:$J$62=G19))&gt;0))&gt;0),COUNTIFS('Work Activity'!$C$3:$C$89,$A19,'Work Activity'!$G$3:$G$89,G19,'Work Activity'!$A$3:$A$89,"&lt;&gt;"&amp;$D19)&gt;0),"YELLOW: "&amp;G19&amp;" punya deadline project lain pada tanggal yang sama. ","")&amp;IF(AND(H19&lt;&gt;"",SUMPRODUCT(($A$3:$A$62=$A19)*($B$3:$B$62&lt;$C19)*($C$3:$C$62&gt;$B19)*(ROW($A$3:$A$62)&lt;&gt;ROW())*((($G$3:$G$62=H19)+($H$3:$H$62=H19)+($I$3:$I$62=H19)+($J$3:$J$62=H19))&gt;0))&gt;0),"RED: "&amp;H19&amp;" bentrok meeting. ","")&amp;IF(AND(H19&lt;&gt;"",NOT(SUMPRODUCT(($A$3:$A$62=$A19)*($B$3:$B$62&lt;$C19)*($C$3:$C$62&gt;$B19)*(ROW($A$3:$A$62)&lt;&gt;ROW())*((($G$3:$G$62=H19)+($H$3:$H$62=H19)+($I$3:$I$62=H19)+($J$3:$J$62=H19))&gt;0))&gt;0),COUNTIFS('Work Activity'!$C$3:$C$89,$A19,'Work Activity'!$G$3:$G$89,H19,'Work Activity'!$A$3:$A$89,"&lt;&gt;"&amp;$D19)&gt;0),"YELLOW: "&amp;H19&amp;" punya deadline project lain pada tanggal yang sama. ","")&amp;IF(AND(I19&lt;&gt;"",SUMPRODUCT(($A$3:$A$62=$A19)*($B$3:$B$62&lt;$C19)*($C$3:$C$62&gt;$B19)*(ROW($A$3:$A$62)&lt;&gt;ROW())*((($G$3:$G$62=I19)+($H$3:$H$62=I19)+($I$3:$I$62=I19)+($J$3:$J$62=I19))&gt;0))&gt;0),"RED: "&amp;I19&amp;" bentrok meeting. ","")&amp;IF(AND(I19&lt;&gt;"",NOT(SUMPRODUCT(($A$3:$A$62=$A19)*($B$3:$B$62&lt;$C19)*($C$3:$C$62&gt;$B19)*(ROW($A$3:$A$62)&lt;&gt;ROW())*((($G$3:$G$62=I19)+($H$3:$H$62=I19)+($I$3:$I$62=I19)+($J$3:$J$62=I19))&gt;0))&gt;0),COUNTIFS('Work Activity'!$C$3:$C$89,$A19,'Work Activity'!$G$3:$G$89,I19,'Work Activity'!$A$3:$A$89,"&lt;&gt;"&amp;$D19)&gt;0),"YELLOW: "&amp;I19&amp;" punya deadline project lain pada tanggal yang sama. ","")&amp;IF(AND(J19&lt;&gt;"",SUMPRODUCT(($A$3:$A$62=$A19)*($B$3:$B$62&lt;$C19)*($C$3:$C$62&gt;$B19)*(ROW($A$3:$A$62)&lt;&gt;ROW())*((($G$3:$G$62=J19)+($H$3:$H$62=J19)+($I$3:$I$62=J19)+($J$3:$J$62=J19))&gt;0))&gt;0),"RED: "&amp;J19&amp;" bentrok meeting. ","")&amp;IF(AND(J19&lt;&gt;"",NOT(SUMPRODUCT(($A$3:$A$62=$A19)*($B$3:$B$62&lt;$C19)*($C$3:$C$62&gt;$B19)*(ROW($A$3:$A$62)&lt;&gt;ROW())*((($G$3:$G$62=J19)+($H$3:$H$62=J19)+($I$3:$I$62=J19)+($J$3:$J$62=J19))&gt;0))&gt;0),COUNTIFS('Work Activity'!$C$3:$C$89,$A19,'Work Activity'!$G$3:$G$89,J19,'Work Activity'!$A$3:$A$89,"&lt;&gt;"&amp;$D19)&gt;0),"YELLOW: "&amp;J19&amp;" punya deadline project lain pada tanggal yang sama. ",""))</f>
        <v/>
      </c>
      <c r="O19" t="str">
        <f t="shared" si="0"/>
        <v/>
      </c>
      <c r="P19" t="str">
        <f ca="1">IFERROR(INDEX('Staff Allocation'!$C$3:$C$62,_xludf.AGGREGATE(15,6,(ROW('Staff Allocation'!$C$3:$C$62)-ROW('Staff Allocation'!$C$3)+1)/(('Staff Allocation'!$A$3:$A$62=P$1)*('Staff Allocation'!$C$3:$C$62&lt;&gt;"")),ROWS(P$2:P19))),"")</f>
        <v/>
      </c>
      <c r="Q19" t="str">
        <f ca="1">IFERROR(INDEX('Staff Allocation'!$C$3:$C$62,_xludf.AGGREGATE(15,6,(ROW('Staff Allocation'!$C$3:$C$62)-ROW('Staff Allocation'!$C$3)+1)/(('Staff Allocation'!$A$3:$A$62=Q$1)*('Staff Allocation'!$C$3:$C$62&lt;&gt;"")),ROWS(Q$2:Q19))),"")</f>
        <v/>
      </c>
      <c r="R19" t="str">
        <f ca="1">IFERROR(INDEX('Staff Allocation'!$C$3:$C$62,_xludf.AGGREGATE(15,6,(ROW('Staff Allocation'!$C$3:$C$62)-ROW('Staff Allocation'!$C$3)+1)/(('Staff Allocation'!$A$3:$A$62=R$1)*('Staff Allocation'!$C$3:$C$62&lt;&gt;"")),ROWS(R$2:R19))),"")</f>
        <v/>
      </c>
      <c r="S19" t="str">
        <f ca="1">IFERROR(INDEX('Staff Allocation'!$C$3:$C$62,_xludf.AGGREGATE(15,6,(ROW('Staff Allocation'!$C$3:$C$62)-ROW('Staff Allocation'!$C$3)+1)/(('Staff Allocation'!$A$3:$A$62=S$1)*('Staff Allocation'!$C$3:$C$62&lt;&gt;"")),ROWS(S$2:S19))),"")</f>
        <v/>
      </c>
      <c r="T19" t="str">
        <f ca="1">IFERROR(INDEX('Staff Allocation'!$C$3:$C$62,_xludf.AGGREGATE(15,6,(ROW('Staff Allocation'!$C$3:$C$62)-ROW('Staff Allocation'!$C$3)+1)/(('Staff Allocation'!$A$3:$A$62=T$1)*('Staff Allocation'!$C$3:$C$62&lt;&gt;"")),ROWS(T$2:T19))),"")</f>
        <v/>
      </c>
      <c r="U19" t="str">
        <f ca="1">IFERROR(INDEX('Staff Allocation'!$C$3:$C$62,_xludf.AGGREGATE(15,6,(ROW('Staff Allocation'!$C$3:$C$62)-ROW('Staff Allocation'!$C$3)+1)/(('Staff Allocation'!$A$3:$A$62=U$1)*('Staff Allocation'!$C$3:$C$62&lt;&gt;"")),ROWS(U$2:U19))),"")</f>
        <v/>
      </c>
      <c r="V19" t="str">
        <f ca="1">IFERROR(INDEX('Staff Allocation'!$C$3:$C$62,_xludf.AGGREGATE(15,6,(ROW('Staff Allocation'!$C$3:$C$62)-ROW('Staff Allocation'!$C$3)+1)/(('Staff Allocation'!$A$3:$A$62=V$1)*('Staff Allocation'!$C$3:$C$62&lt;&gt;"")),ROWS(V$2:V19))),"")</f>
        <v/>
      </c>
      <c r="W19" t="str">
        <f ca="1">IFERROR(INDEX('Staff Allocation'!$C$3:$C$62,_xludf.AGGREGATE(15,6,(ROW('Staff Allocation'!$C$3:$C$62)-ROW('Staff Allocation'!$C$3)+1)/(('Staff Allocation'!$A$3:$A$62=W$1)*('Staff Allocation'!$C$3:$C$62&lt;&gt;"")),ROWS(W$2:W19))),"")</f>
        <v/>
      </c>
      <c r="X19" t="str">
        <f ca="1">IFERROR(INDEX('Staff Allocation'!$C$3:$C$62,_xludf.AGGREGATE(15,6,(ROW('Staff Allocation'!$C$3:$C$62)-ROW('Staff Allocation'!$C$3)+1)/(('Staff Allocation'!$A$3:$A$62=X$1)*('Staff Allocation'!$C$3:$C$62&lt;&gt;"")),ROWS(X$2:X19))),"")</f>
        <v/>
      </c>
      <c r="Y19" t="str">
        <f ca="1">IFERROR(INDEX('Staff Allocation'!$C$3:$C$62,_xludf.AGGREGATE(15,6,(ROW('Staff Allocation'!$C$3:$C$62)-ROW('Staff Allocation'!$C$3)+1)/(('Staff Allocation'!$A$3:$A$62=Y$1)*('Staff Allocation'!$C$3:$C$62&lt;&gt;"")),ROWS(Y$2:Y19))),"")</f>
        <v/>
      </c>
      <c r="Z19" t="str">
        <f ca="1">IFERROR(INDEX('Staff Allocation'!$C$3:$C$62,_xludf.AGGREGATE(15,6,(ROW('Staff Allocation'!$C$3:$C$62)-ROW('Staff Allocation'!$C$3)+1)/(('Staff Allocation'!$A$3:$A$62=Z$1)*('Staff Allocation'!$C$3:$C$62&lt;&gt;"")),ROWS(Z$2:Z19))),"")</f>
        <v/>
      </c>
      <c r="AA19" t="str">
        <f ca="1">IFERROR(INDEX('Staff Allocation'!$C$3:$C$62,_xludf.AGGREGATE(15,6,(ROW('Staff Allocation'!$C$3:$C$62)-ROW('Staff Allocation'!$C$3)+1)/(('Staff Allocation'!$A$3:$A$62=AA$1)*('Staff Allocation'!$C$3:$C$62&lt;&gt;"")),ROWS(AA$2:AA19))),"")</f>
        <v/>
      </c>
      <c r="AB19" t="str">
        <f ca="1">IFERROR(INDEX('Staff Allocation'!$C$3:$C$62,_xludf.AGGREGATE(15,6,(ROW('Staff Allocation'!$C$3:$C$62)-ROW('Staff Allocation'!$C$3)+1)/(('Staff Allocation'!$A$3:$A$62=AB$1)*('Staff Allocation'!$C$3:$C$62&lt;&gt;"")),ROWS(AB$2:AB19))),"")</f>
        <v/>
      </c>
      <c r="AC19" t="str">
        <f ca="1">IFERROR(INDEX('Staff Allocation'!$C$3:$C$62,_xludf.AGGREGATE(15,6,(ROW('Staff Allocation'!$C$3:$C$62)-ROW('Staff Allocation'!$C$3)+1)/(('Staff Allocation'!$A$3:$A$62=AC$1)*('Staff Allocation'!$C$3:$C$62&lt;&gt;"")),ROWS(AC$2:AC19))),"")</f>
        <v/>
      </c>
      <c r="AD19" t="str">
        <f ca="1">IFERROR(INDEX('Staff Allocation'!$C$3:$C$62,_xludf.AGGREGATE(15,6,(ROW('Staff Allocation'!$C$3:$C$62)-ROW('Staff Allocation'!$C$3)+1)/(('Staff Allocation'!$A$3:$A$62=AD$1)*('Staff Allocation'!$C$3:$C$62&lt;&gt;"")),ROWS(AD$2:AD19))),"")</f>
        <v/>
      </c>
    </row>
    <row r="20" spans="1:30">
      <c r="A20" s="9"/>
      <c r="B20" s="12"/>
      <c r="C20" s="12"/>
      <c r="E20" t="str">
        <f>IFERROR(INDEX(Setup!$I$3:$I$17,MATCH($D20,Setup!$H$3:$H$17,0)),"")</f>
        <v/>
      </c>
      <c r="L20" t="str">
        <f>IF(OR(AND(G20&lt;&gt;"",SUMPRODUCT(($A$3:$A$62=$A20)*($B$3:$B$62&lt;$C20)*($C$3:$C$62&gt;$B20)*(ROW($A$3:$A$62)&lt;&gt;ROW())*((($G$3:$G$62=G20)+($H$3:$H$62=G20)+($I$3:$I$62=G20)+($J$3:$J$62=G20))&gt;0))&gt;0),AND(H20&lt;&gt;"",SUMPRODUCT(($A$3:$A$62=$A20)*($B$3:$B$62&lt;$C20)*($C$3:$C$62&gt;$B20)*(ROW($A$3:$A$62)&lt;&gt;ROW())*((($G$3:$G$62=H20)+($H$3:$H$62=H20)+($I$3:$I$62=H20)+($J$3:$J$62=H20))&gt;0))&gt;0),AND(I20&lt;&gt;"",SUMPRODUCT(($A$3:$A$62=$A20)*($B$3:$B$62&lt;$C20)*($C$3:$C$62&gt;$B20)*(ROW($A$3:$A$62)&lt;&gt;ROW())*((($G$3:$G$62=I20)+($H$3:$H$62=I20)+($I$3:$I$62=I20)+($J$3:$J$62=I20))&gt;0))&gt;0),AND(J20&lt;&gt;"",SUMPRODUCT(($A$3:$A$62=$A20)*($B$3:$B$62&lt;$C20)*($C$3:$C$62&gt;$B20)*(ROW($A$3:$A$62)&lt;&gt;ROW())*((($G$3:$G$62=J20)+($H$3:$H$62=J20)+($I$3:$I$62=J20)+($J$3:$J$62=J20))&gt;0))&gt;0)),"RED - MEETING CLASH",IF(OR(AND(G20&lt;&gt;"",COUNTIFS('Work Activity'!$C$3:$C$89,$A20,'Work Activity'!$G$3:$G$89,G20,'Work Activity'!$A$3:$A$89,"&lt;&gt;"&amp;$D20)&gt;0),AND(H20&lt;&gt;"",COUNTIFS('Work Activity'!$C$3:$C$89,$A20,'Work Activity'!$G$3:$G$89,H20,'Work Activity'!$A$3:$A$89,"&lt;&gt;"&amp;$D20)&gt;0),AND(I20&lt;&gt;"",COUNTIFS('Work Activity'!$C$3:$C$89,$A20,'Work Activity'!$G$3:$G$89,I20,'Work Activity'!$A$3:$A$89,"&lt;&gt;"&amp;$D20)&gt;0),AND(J20&lt;&gt;"",COUNTIFS('Work Activity'!$C$3:$C$89,$A20,'Work Activity'!$G$3:$G$89,J20,'Work Activity'!$A$3:$A$89,"&lt;&gt;"&amp;$D20)&gt;0)),"YELLOW - DEADLINE CHECK","CLEAR"))</f>
        <v>CLEAR</v>
      </c>
      <c r="M20" t="str">
        <f>TRIM(IF(AND(G20&lt;&gt;"",SUMPRODUCT(($A$3:$A$62=$A20)*($B$3:$B$62&lt;$C20)*($C$3:$C$62&gt;$B20)*(ROW($A$3:$A$62)&lt;&gt;ROW())*((($G$3:$G$62=G20)+($H$3:$H$62=G20)+($I$3:$I$62=G20)+($J$3:$J$62=G20))&gt;0))&gt;0),"RED: "&amp;G20&amp;" bentrok meeting. ","")&amp;IF(AND(G20&lt;&gt;"",NOT(SUMPRODUCT(($A$3:$A$62=$A20)*($B$3:$B$62&lt;$C20)*($C$3:$C$62&gt;$B20)*(ROW($A$3:$A$62)&lt;&gt;ROW())*((($G$3:$G$62=G20)+($H$3:$H$62=G20)+($I$3:$I$62=G20)+($J$3:$J$62=G20))&gt;0))&gt;0),COUNTIFS('Work Activity'!$C$3:$C$89,$A20,'Work Activity'!$G$3:$G$89,G20,'Work Activity'!$A$3:$A$89,"&lt;&gt;"&amp;$D20)&gt;0),"YELLOW: "&amp;G20&amp;" punya deadline project lain pada tanggal yang sama. ","")&amp;IF(AND(H20&lt;&gt;"",SUMPRODUCT(($A$3:$A$62=$A20)*($B$3:$B$62&lt;$C20)*($C$3:$C$62&gt;$B20)*(ROW($A$3:$A$62)&lt;&gt;ROW())*((($G$3:$G$62=H20)+($H$3:$H$62=H20)+($I$3:$I$62=H20)+($J$3:$J$62=H20))&gt;0))&gt;0),"RED: "&amp;H20&amp;" bentrok meeting. ","")&amp;IF(AND(H20&lt;&gt;"",NOT(SUMPRODUCT(($A$3:$A$62=$A20)*($B$3:$B$62&lt;$C20)*($C$3:$C$62&gt;$B20)*(ROW($A$3:$A$62)&lt;&gt;ROW())*((($G$3:$G$62=H20)+($H$3:$H$62=H20)+($I$3:$I$62=H20)+($J$3:$J$62=H20))&gt;0))&gt;0),COUNTIFS('Work Activity'!$C$3:$C$89,$A20,'Work Activity'!$G$3:$G$89,H20,'Work Activity'!$A$3:$A$89,"&lt;&gt;"&amp;$D20)&gt;0),"YELLOW: "&amp;H20&amp;" punya deadline project lain pada tanggal yang sama. ","")&amp;IF(AND(I20&lt;&gt;"",SUMPRODUCT(($A$3:$A$62=$A20)*($B$3:$B$62&lt;$C20)*($C$3:$C$62&gt;$B20)*(ROW($A$3:$A$62)&lt;&gt;ROW())*((($G$3:$G$62=I20)+($H$3:$H$62=I20)+($I$3:$I$62=I20)+($J$3:$J$62=I20))&gt;0))&gt;0),"RED: "&amp;I20&amp;" bentrok meeting. ","")&amp;IF(AND(I20&lt;&gt;"",NOT(SUMPRODUCT(($A$3:$A$62=$A20)*($B$3:$B$62&lt;$C20)*($C$3:$C$62&gt;$B20)*(ROW($A$3:$A$62)&lt;&gt;ROW())*((($G$3:$G$62=I20)+($H$3:$H$62=I20)+($I$3:$I$62=I20)+($J$3:$J$62=I20))&gt;0))&gt;0),COUNTIFS('Work Activity'!$C$3:$C$89,$A20,'Work Activity'!$G$3:$G$89,I20,'Work Activity'!$A$3:$A$89,"&lt;&gt;"&amp;$D20)&gt;0),"YELLOW: "&amp;I20&amp;" punya deadline project lain pada tanggal yang sama. ","")&amp;IF(AND(J20&lt;&gt;"",SUMPRODUCT(($A$3:$A$62=$A20)*($B$3:$B$62&lt;$C20)*($C$3:$C$62&gt;$B20)*(ROW($A$3:$A$62)&lt;&gt;ROW())*((($G$3:$G$62=J20)+($H$3:$H$62=J20)+($I$3:$I$62=J20)+($J$3:$J$62=J20))&gt;0))&gt;0),"RED: "&amp;J20&amp;" bentrok meeting. ","")&amp;IF(AND(J20&lt;&gt;"",NOT(SUMPRODUCT(($A$3:$A$62=$A20)*($B$3:$B$62&lt;$C20)*($C$3:$C$62&gt;$B20)*(ROW($A$3:$A$62)&lt;&gt;ROW())*((($G$3:$G$62=J20)+($H$3:$H$62=J20)+($I$3:$I$62=J20)+($J$3:$J$62=J20))&gt;0))&gt;0),COUNTIFS('Work Activity'!$C$3:$C$89,$A20,'Work Activity'!$G$3:$G$89,J20,'Work Activity'!$A$3:$A$89,"&lt;&gt;"&amp;$D20)&gt;0),"YELLOW: "&amp;J20&amp;" punya deadline project lain pada tanggal yang sama. ",""))</f>
        <v/>
      </c>
      <c r="O20" t="str">
        <f t="shared" si="0"/>
        <v/>
      </c>
      <c r="P20" t="str">
        <f ca="1">IFERROR(INDEX('Staff Allocation'!$C$3:$C$62,_xludf.AGGREGATE(15,6,(ROW('Staff Allocation'!$C$3:$C$62)-ROW('Staff Allocation'!$C$3)+1)/(('Staff Allocation'!$A$3:$A$62=P$1)*('Staff Allocation'!$C$3:$C$62&lt;&gt;"")),ROWS(P$2:P20))),"")</f>
        <v/>
      </c>
      <c r="Q20" t="str">
        <f ca="1">IFERROR(INDEX('Staff Allocation'!$C$3:$C$62,_xludf.AGGREGATE(15,6,(ROW('Staff Allocation'!$C$3:$C$62)-ROW('Staff Allocation'!$C$3)+1)/(('Staff Allocation'!$A$3:$A$62=Q$1)*('Staff Allocation'!$C$3:$C$62&lt;&gt;"")),ROWS(Q$2:Q20))),"")</f>
        <v/>
      </c>
      <c r="R20" t="str">
        <f ca="1">IFERROR(INDEX('Staff Allocation'!$C$3:$C$62,_xludf.AGGREGATE(15,6,(ROW('Staff Allocation'!$C$3:$C$62)-ROW('Staff Allocation'!$C$3)+1)/(('Staff Allocation'!$A$3:$A$62=R$1)*('Staff Allocation'!$C$3:$C$62&lt;&gt;"")),ROWS(R$2:R20))),"")</f>
        <v/>
      </c>
      <c r="S20" t="str">
        <f ca="1">IFERROR(INDEX('Staff Allocation'!$C$3:$C$62,_xludf.AGGREGATE(15,6,(ROW('Staff Allocation'!$C$3:$C$62)-ROW('Staff Allocation'!$C$3)+1)/(('Staff Allocation'!$A$3:$A$62=S$1)*('Staff Allocation'!$C$3:$C$62&lt;&gt;"")),ROWS(S$2:S20))),"")</f>
        <v/>
      </c>
      <c r="T20" t="str">
        <f ca="1">IFERROR(INDEX('Staff Allocation'!$C$3:$C$62,_xludf.AGGREGATE(15,6,(ROW('Staff Allocation'!$C$3:$C$62)-ROW('Staff Allocation'!$C$3)+1)/(('Staff Allocation'!$A$3:$A$62=T$1)*('Staff Allocation'!$C$3:$C$62&lt;&gt;"")),ROWS(T$2:T20))),"")</f>
        <v/>
      </c>
      <c r="U20" t="str">
        <f ca="1">IFERROR(INDEX('Staff Allocation'!$C$3:$C$62,_xludf.AGGREGATE(15,6,(ROW('Staff Allocation'!$C$3:$C$62)-ROW('Staff Allocation'!$C$3)+1)/(('Staff Allocation'!$A$3:$A$62=U$1)*('Staff Allocation'!$C$3:$C$62&lt;&gt;"")),ROWS(U$2:U20))),"")</f>
        <v/>
      </c>
      <c r="V20" t="str">
        <f ca="1">IFERROR(INDEX('Staff Allocation'!$C$3:$C$62,_xludf.AGGREGATE(15,6,(ROW('Staff Allocation'!$C$3:$C$62)-ROW('Staff Allocation'!$C$3)+1)/(('Staff Allocation'!$A$3:$A$62=V$1)*('Staff Allocation'!$C$3:$C$62&lt;&gt;"")),ROWS(V$2:V20))),"")</f>
        <v/>
      </c>
      <c r="W20" t="str">
        <f ca="1">IFERROR(INDEX('Staff Allocation'!$C$3:$C$62,_xludf.AGGREGATE(15,6,(ROW('Staff Allocation'!$C$3:$C$62)-ROW('Staff Allocation'!$C$3)+1)/(('Staff Allocation'!$A$3:$A$62=W$1)*('Staff Allocation'!$C$3:$C$62&lt;&gt;"")),ROWS(W$2:W20))),"")</f>
        <v/>
      </c>
      <c r="X20" t="str">
        <f ca="1">IFERROR(INDEX('Staff Allocation'!$C$3:$C$62,_xludf.AGGREGATE(15,6,(ROW('Staff Allocation'!$C$3:$C$62)-ROW('Staff Allocation'!$C$3)+1)/(('Staff Allocation'!$A$3:$A$62=X$1)*('Staff Allocation'!$C$3:$C$62&lt;&gt;"")),ROWS(X$2:X20))),"")</f>
        <v/>
      </c>
      <c r="Y20" t="str">
        <f ca="1">IFERROR(INDEX('Staff Allocation'!$C$3:$C$62,_xludf.AGGREGATE(15,6,(ROW('Staff Allocation'!$C$3:$C$62)-ROW('Staff Allocation'!$C$3)+1)/(('Staff Allocation'!$A$3:$A$62=Y$1)*('Staff Allocation'!$C$3:$C$62&lt;&gt;"")),ROWS(Y$2:Y20))),"")</f>
        <v/>
      </c>
      <c r="Z20" t="str">
        <f ca="1">IFERROR(INDEX('Staff Allocation'!$C$3:$C$62,_xludf.AGGREGATE(15,6,(ROW('Staff Allocation'!$C$3:$C$62)-ROW('Staff Allocation'!$C$3)+1)/(('Staff Allocation'!$A$3:$A$62=Z$1)*('Staff Allocation'!$C$3:$C$62&lt;&gt;"")),ROWS(Z$2:Z20))),"")</f>
        <v/>
      </c>
      <c r="AA20" t="str">
        <f ca="1">IFERROR(INDEX('Staff Allocation'!$C$3:$C$62,_xludf.AGGREGATE(15,6,(ROW('Staff Allocation'!$C$3:$C$62)-ROW('Staff Allocation'!$C$3)+1)/(('Staff Allocation'!$A$3:$A$62=AA$1)*('Staff Allocation'!$C$3:$C$62&lt;&gt;"")),ROWS(AA$2:AA20))),"")</f>
        <v/>
      </c>
      <c r="AB20" t="str">
        <f ca="1">IFERROR(INDEX('Staff Allocation'!$C$3:$C$62,_xludf.AGGREGATE(15,6,(ROW('Staff Allocation'!$C$3:$C$62)-ROW('Staff Allocation'!$C$3)+1)/(('Staff Allocation'!$A$3:$A$62=AB$1)*('Staff Allocation'!$C$3:$C$62&lt;&gt;"")),ROWS(AB$2:AB20))),"")</f>
        <v/>
      </c>
      <c r="AC20" t="str">
        <f ca="1">IFERROR(INDEX('Staff Allocation'!$C$3:$C$62,_xludf.AGGREGATE(15,6,(ROW('Staff Allocation'!$C$3:$C$62)-ROW('Staff Allocation'!$C$3)+1)/(('Staff Allocation'!$A$3:$A$62=AC$1)*('Staff Allocation'!$C$3:$C$62&lt;&gt;"")),ROWS(AC$2:AC20))),"")</f>
        <v/>
      </c>
      <c r="AD20" t="str">
        <f ca="1">IFERROR(INDEX('Staff Allocation'!$C$3:$C$62,_xludf.AGGREGATE(15,6,(ROW('Staff Allocation'!$C$3:$C$62)-ROW('Staff Allocation'!$C$3)+1)/(('Staff Allocation'!$A$3:$A$62=AD$1)*('Staff Allocation'!$C$3:$C$62&lt;&gt;"")),ROWS(AD$2:AD20))),"")</f>
        <v/>
      </c>
    </row>
    <row r="21" spans="1:30">
      <c r="A21" s="9"/>
      <c r="B21" s="12"/>
      <c r="C21" s="12"/>
      <c r="E21" t="str">
        <f>IFERROR(INDEX(Setup!$I$3:$I$17,MATCH($D21,Setup!$H$3:$H$17,0)),"")</f>
        <v/>
      </c>
      <c r="L21" t="str">
        <f>IF(OR(AND(G21&lt;&gt;"",SUMPRODUCT(($A$3:$A$62=$A21)*($B$3:$B$62&lt;$C21)*($C$3:$C$62&gt;$B21)*(ROW($A$3:$A$62)&lt;&gt;ROW())*((($G$3:$G$62=G21)+($H$3:$H$62=G21)+($I$3:$I$62=G21)+($J$3:$J$62=G21))&gt;0))&gt;0),AND(H21&lt;&gt;"",SUMPRODUCT(($A$3:$A$62=$A21)*($B$3:$B$62&lt;$C21)*($C$3:$C$62&gt;$B21)*(ROW($A$3:$A$62)&lt;&gt;ROW())*((($G$3:$G$62=H21)+($H$3:$H$62=H21)+($I$3:$I$62=H21)+($J$3:$J$62=H21))&gt;0))&gt;0),AND(I21&lt;&gt;"",SUMPRODUCT(($A$3:$A$62=$A21)*($B$3:$B$62&lt;$C21)*($C$3:$C$62&gt;$B21)*(ROW($A$3:$A$62)&lt;&gt;ROW())*((($G$3:$G$62=I21)+($H$3:$H$62=I21)+($I$3:$I$62=I21)+($J$3:$J$62=I21))&gt;0))&gt;0),AND(J21&lt;&gt;"",SUMPRODUCT(($A$3:$A$62=$A21)*($B$3:$B$62&lt;$C21)*($C$3:$C$62&gt;$B21)*(ROW($A$3:$A$62)&lt;&gt;ROW())*((($G$3:$G$62=J21)+($H$3:$H$62=J21)+($I$3:$I$62=J21)+($J$3:$J$62=J21))&gt;0))&gt;0)),"RED - MEETING CLASH",IF(OR(AND(G21&lt;&gt;"",COUNTIFS('Work Activity'!$C$3:$C$89,$A21,'Work Activity'!$G$3:$G$89,G21,'Work Activity'!$A$3:$A$89,"&lt;&gt;"&amp;$D21)&gt;0),AND(H21&lt;&gt;"",COUNTIFS('Work Activity'!$C$3:$C$89,$A21,'Work Activity'!$G$3:$G$89,H21,'Work Activity'!$A$3:$A$89,"&lt;&gt;"&amp;$D21)&gt;0),AND(I21&lt;&gt;"",COUNTIFS('Work Activity'!$C$3:$C$89,$A21,'Work Activity'!$G$3:$G$89,I21,'Work Activity'!$A$3:$A$89,"&lt;&gt;"&amp;$D21)&gt;0),AND(J21&lt;&gt;"",COUNTIFS('Work Activity'!$C$3:$C$89,$A21,'Work Activity'!$G$3:$G$89,J21,'Work Activity'!$A$3:$A$89,"&lt;&gt;"&amp;$D21)&gt;0)),"YELLOW - DEADLINE CHECK","CLEAR"))</f>
        <v>CLEAR</v>
      </c>
      <c r="M21" t="str">
        <f>TRIM(IF(AND(G21&lt;&gt;"",SUMPRODUCT(($A$3:$A$62=$A21)*($B$3:$B$62&lt;$C21)*($C$3:$C$62&gt;$B21)*(ROW($A$3:$A$62)&lt;&gt;ROW())*((($G$3:$G$62=G21)+($H$3:$H$62=G21)+($I$3:$I$62=G21)+($J$3:$J$62=G21))&gt;0))&gt;0),"RED: "&amp;G21&amp;" bentrok meeting. ","")&amp;IF(AND(G21&lt;&gt;"",NOT(SUMPRODUCT(($A$3:$A$62=$A21)*($B$3:$B$62&lt;$C21)*($C$3:$C$62&gt;$B21)*(ROW($A$3:$A$62)&lt;&gt;ROW())*((($G$3:$G$62=G21)+($H$3:$H$62=G21)+($I$3:$I$62=G21)+($J$3:$J$62=G21))&gt;0))&gt;0),COUNTIFS('Work Activity'!$C$3:$C$89,$A21,'Work Activity'!$G$3:$G$89,G21,'Work Activity'!$A$3:$A$89,"&lt;&gt;"&amp;$D21)&gt;0),"YELLOW: "&amp;G21&amp;" punya deadline project lain pada tanggal yang sama. ","")&amp;IF(AND(H21&lt;&gt;"",SUMPRODUCT(($A$3:$A$62=$A21)*($B$3:$B$62&lt;$C21)*($C$3:$C$62&gt;$B21)*(ROW($A$3:$A$62)&lt;&gt;ROW())*((($G$3:$G$62=H21)+($H$3:$H$62=H21)+($I$3:$I$62=H21)+($J$3:$J$62=H21))&gt;0))&gt;0),"RED: "&amp;H21&amp;" bentrok meeting. ","")&amp;IF(AND(H21&lt;&gt;"",NOT(SUMPRODUCT(($A$3:$A$62=$A21)*($B$3:$B$62&lt;$C21)*($C$3:$C$62&gt;$B21)*(ROW($A$3:$A$62)&lt;&gt;ROW())*((($G$3:$G$62=H21)+($H$3:$H$62=H21)+($I$3:$I$62=H21)+($J$3:$J$62=H21))&gt;0))&gt;0),COUNTIFS('Work Activity'!$C$3:$C$89,$A21,'Work Activity'!$G$3:$G$89,H21,'Work Activity'!$A$3:$A$89,"&lt;&gt;"&amp;$D21)&gt;0),"YELLOW: "&amp;H21&amp;" punya deadline project lain pada tanggal yang sama. ","")&amp;IF(AND(I21&lt;&gt;"",SUMPRODUCT(($A$3:$A$62=$A21)*($B$3:$B$62&lt;$C21)*($C$3:$C$62&gt;$B21)*(ROW($A$3:$A$62)&lt;&gt;ROW())*((($G$3:$G$62=I21)+($H$3:$H$62=I21)+($I$3:$I$62=I21)+($J$3:$J$62=I21))&gt;0))&gt;0),"RED: "&amp;I21&amp;" bentrok meeting. ","")&amp;IF(AND(I21&lt;&gt;"",NOT(SUMPRODUCT(($A$3:$A$62=$A21)*($B$3:$B$62&lt;$C21)*($C$3:$C$62&gt;$B21)*(ROW($A$3:$A$62)&lt;&gt;ROW())*((($G$3:$G$62=I21)+($H$3:$H$62=I21)+($I$3:$I$62=I21)+($J$3:$J$62=I21))&gt;0))&gt;0),COUNTIFS('Work Activity'!$C$3:$C$89,$A21,'Work Activity'!$G$3:$G$89,I21,'Work Activity'!$A$3:$A$89,"&lt;&gt;"&amp;$D21)&gt;0),"YELLOW: "&amp;I21&amp;" punya deadline project lain pada tanggal yang sama. ","")&amp;IF(AND(J21&lt;&gt;"",SUMPRODUCT(($A$3:$A$62=$A21)*($B$3:$B$62&lt;$C21)*($C$3:$C$62&gt;$B21)*(ROW($A$3:$A$62)&lt;&gt;ROW())*((($G$3:$G$62=J21)+($H$3:$H$62=J21)+($I$3:$I$62=J21)+($J$3:$J$62=J21))&gt;0))&gt;0),"RED: "&amp;J21&amp;" bentrok meeting. ","")&amp;IF(AND(J21&lt;&gt;"",NOT(SUMPRODUCT(($A$3:$A$62=$A21)*($B$3:$B$62&lt;$C21)*($C$3:$C$62&gt;$B21)*(ROW($A$3:$A$62)&lt;&gt;ROW())*((($G$3:$G$62=J21)+($H$3:$H$62=J21)+($I$3:$I$62=J21)+($J$3:$J$62=J21))&gt;0))&gt;0),COUNTIFS('Work Activity'!$C$3:$C$89,$A21,'Work Activity'!$G$3:$G$89,J21,'Work Activity'!$A$3:$A$89,"&lt;&gt;"&amp;$D21)&gt;0),"YELLOW: "&amp;J21&amp;" punya deadline project lain pada tanggal yang sama. ",""))</f>
        <v/>
      </c>
      <c r="O21" t="str">
        <f t="shared" si="0"/>
        <v/>
      </c>
      <c r="P21" t="str">
        <f ca="1">IFERROR(INDEX('Staff Allocation'!$C$3:$C$62,_xludf.AGGREGATE(15,6,(ROW('Staff Allocation'!$C$3:$C$62)-ROW('Staff Allocation'!$C$3)+1)/(('Staff Allocation'!$A$3:$A$62=P$1)*('Staff Allocation'!$C$3:$C$62&lt;&gt;"")),ROWS(P$2:P21))),"")</f>
        <v/>
      </c>
      <c r="Q21" t="str">
        <f ca="1">IFERROR(INDEX('Staff Allocation'!$C$3:$C$62,_xludf.AGGREGATE(15,6,(ROW('Staff Allocation'!$C$3:$C$62)-ROW('Staff Allocation'!$C$3)+1)/(('Staff Allocation'!$A$3:$A$62=Q$1)*('Staff Allocation'!$C$3:$C$62&lt;&gt;"")),ROWS(Q$2:Q21))),"")</f>
        <v/>
      </c>
      <c r="R21" t="str">
        <f ca="1">IFERROR(INDEX('Staff Allocation'!$C$3:$C$62,_xludf.AGGREGATE(15,6,(ROW('Staff Allocation'!$C$3:$C$62)-ROW('Staff Allocation'!$C$3)+1)/(('Staff Allocation'!$A$3:$A$62=R$1)*('Staff Allocation'!$C$3:$C$62&lt;&gt;"")),ROWS(R$2:R21))),"")</f>
        <v/>
      </c>
      <c r="S21" t="str">
        <f ca="1">IFERROR(INDEX('Staff Allocation'!$C$3:$C$62,_xludf.AGGREGATE(15,6,(ROW('Staff Allocation'!$C$3:$C$62)-ROW('Staff Allocation'!$C$3)+1)/(('Staff Allocation'!$A$3:$A$62=S$1)*('Staff Allocation'!$C$3:$C$62&lt;&gt;"")),ROWS(S$2:S21))),"")</f>
        <v/>
      </c>
      <c r="T21" t="str">
        <f ca="1">IFERROR(INDEX('Staff Allocation'!$C$3:$C$62,_xludf.AGGREGATE(15,6,(ROW('Staff Allocation'!$C$3:$C$62)-ROW('Staff Allocation'!$C$3)+1)/(('Staff Allocation'!$A$3:$A$62=T$1)*('Staff Allocation'!$C$3:$C$62&lt;&gt;"")),ROWS(T$2:T21))),"")</f>
        <v/>
      </c>
      <c r="U21" t="str">
        <f ca="1">IFERROR(INDEX('Staff Allocation'!$C$3:$C$62,_xludf.AGGREGATE(15,6,(ROW('Staff Allocation'!$C$3:$C$62)-ROW('Staff Allocation'!$C$3)+1)/(('Staff Allocation'!$A$3:$A$62=U$1)*('Staff Allocation'!$C$3:$C$62&lt;&gt;"")),ROWS(U$2:U21))),"")</f>
        <v/>
      </c>
      <c r="V21" t="str">
        <f ca="1">IFERROR(INDEX('Staff Allocation'!$C$3:$C$62,_xludf.AGGREGATE(15,6,(ROW('Staff Allocation'!$C$3:$C$62)-ROW('Staff Allocation'!$C$3)+1)/(('Staff Allocation'!$A$3:$A$62=V$1)*('Staff Allocation'!$C$3:$C$62&lt;&gt;"")),ROWS(V$2:V21))),"")</f>
        <v/>
      </c>
      <c r="W21" t="str">
        <f ca="1">IFERROR(INDEX('Staff Allocation'!$C$3:$C$62,_xludf.AGGREGATE(15,6,(ROW('Staff Allocation'!$C$3:$C$62)-ROW('Staff Allocation'!$C$3)+1)/(('Staff Allocation'!$A$3:$A$62=W$1)*('Staff Allocation'!$C$3:$C$62&lt;&gt;"")),ROWS(W$2:W21))),"")</f>
        <v/>
      </c>
      <c r="X21" t="str">
        <f ca="1">IFERROR(INDEX('Staff Allocation'!$C$3:$C$62,_xludf.AGGREGATE(15,6,(ROW('Staff Allocation'!$C$3:$C$62)-ROW('Staff Allocation'!$C$3)+1)/(('Staff Allocation'!$A$3:$A$62=X$1)*('Staff Allocation'!$C$3:$C$62&lt;&gt;"")),ROWS(X$2:X21))),"")</f>
        <v/>
      </c>
      <c r="Y21" t="str">
        <f ca="1">IFERROR(INDEX('Staff Allocation'!$C$3:$C$62,_xludf.AGGREGATE(15,6,(ROW('Staff Allocation'!$C$3:$C$62)-ROW('Staff Allocation'!$C$3)+1)/(('Staff Allocation'!$A$3:$A$62=Y$1)*('Staff Allocation'!$C$3:$C$62&lt;&gt;"")),ROWS(Y$2:Y21))),"")</f>
        <v/>
      </c>
      <c r="Z21" t="str">
        <f ca="1">IFERROR(INDEX('Staff Allocation'!$C$3:$C$62,_xludf.AGGREGATE(15,6,(ROW('Staff Allocation'!$C$3:$C$62)-ROW('Staff Allocation'!$C$3)+1)/(('Staff Allocation'!$A$3:$A$62=Z$1)*('Staff Allocation'!$C$3:$C$62&lt;&gt;"")),ROWS(Z$2:Z21))),"")</f>
        <v/>
      </c>
      <c r="AA21" t="str">
        <f ca="1">IFERROR(INDEX('Staff Allocation'!$C$3:$C$62,_xludf.AGGREGATE(15,6,(ROW('Staff Allocation'!$C$3:$C$62)-ROW('Staff Allocation'!$C$3)+1)/(('Staff Allocation'!$A$3:$A$62=AA$1)*('Staff Allocation'!$C$3:$C$62&lt;&gt;"")),ROWS(AA$2:AA21))),"")</f>
        <v/>
      </c>
      <c r="AB21" t="str">
        <f ca="1">IFERROR(INDEX('Staff Allocation'!$C$3:$C$62,_xludf.AGGREGATE(15,6,(ROW('Staff Allocation'!$C$3:$C$62)-ROW('Staff Allocation'!$C$3)+1)/(('Staff Allocation'!$A$3:$A$62=AB$1)*('Staff Allocation'!$C$3:$C$62&lt;&gt;"")),ROWS(AB$2:AB21))),"")</f>
        <v/>
      </c>
      <c r="AC21" t="str">
        <f ca="1">IFERROR(INDEX('Staff Allocation'!$C$3:$C$62,_xludf.AGGREGATE(15,6,(ROW('Staff Allocation'!$C$3:$C$62)-ROW('Staff Allocation'!$C$3)+1)/(('Staff Allocation'!$A$3:$A$62=AC$1)*('Staff Allocation'!$C$3:$C$62&lt;&gt;"")),ROWS(AC$2:AC21))),"")</f>
        <v/>
      </c>
      <c r="AD21" t="str">
        <f ca="1">IFERROR(INDEX('Staff Allocation'!$C$3:$C$62,_xludf.AGGREGATE(15,6,(ROW('Staff Allocation'!$C$3:$C$62)-ROW('Staff Allocation'!$C$3)+1)/(('Staff Allocation'!$A$3:$A$62=AD$1)*('Staff Allocation'!$C$3:$C$62&lt;&gt;"")),ROWS(AD$2:AD21))),"")</f>
        <v/>
      </c>
    </row>
    <row r="22" spans="1:30">
      <c r="A22" s="9"/>
      <c r="B22" s="12"/>
      <c r="C22" s="12"/>
      <c r="E22" t="str">
        <f>IFERROR(INDEX(Setup!$I$3:$I$17,MATCH($D22,Setup!$H$3:$H$17,0)),"")</f>
        <v/>
      </c>
      <c r="L22" t="str">
        <f>IF(OR(AND(G22&lt;&gt;"",SUMPRODUCT(($A$3:$A$62=$A22)*($B$3:$B$62&lt;$C22)*($C$3:$C$62&gt;$B22)*(ROW($A$3:$A$62)&lt;&gt;ROW())*((($G$3:$G$62=G22)+($H$3:$H$62=G22)+($I$3:$I$62=G22)+($J$3:$J$62=G22))&gt;0))&gt;0),AND(H22&lt;&gt;"",SUMPRODUCT(($A$3:$A$62=$A22)*($B$3:$B$62&lt;$C22)*($C$3:$C$62&gt;$B22)*(ROW($A$3:$A$62)&lt;&gt;ROW())*((($G$3:$G$62=H22)+($H$3:$H$62=H22)+($I$3:$I$62=H22)+($J$3:$J$62=H22))&gt;0))&gt;0),AND(I22&lt;&gt;"",SUMPRODUCT(($A$3:$A$62=$A22)*($B$3:$B$62&lt;$C22)*($C$3:$C$62&gt;$B22)*(ROW($A$3:$A$62)&lt;&gt;ROW())*((($G$3:$G$62=I22)+($H$3:$H$62=I22)+($I$3:$I$62=I22)+($J$3:$J$62=I22))&gt;0))&gt;0),AND(J22&lt;&gt;"",SUMPRODUCT(($A$3:$A$62=$A22)*($B$3:$B$62&lt;$C22)*($C$3:$C$62&gt;$B22)*(ROW($A$3:$A$62)&lt;&gt;ROW())*((($G$3:$G$62=J22)+($H$3:$H$62=J22)+($I$3:$I$62=J22)+($J$3:$J$62=J22))&gt;0))&gt;0)),"RED - MEETING CLASH",IF(OR(AND(G22&lt;&gt;"",COUNTIFS('Work Activity'!$C$3:$C$89,$A22,'Work Activity'!$G$3:$G$89,G22,'Work Activity'!$A$3:$A$89,"&lt;&gt;"&amp;$D22)&gt;0),AND(H22&lt;&gt;"",COUNTIFS('Work Activity'!$C$3:$C$89,$A22,'Work Activity'!$G$3:$G$89,H22,'Work Activity'!$A$3:$A$89,"&lt;&gt;"&amp;$D22)&gt;0),AND(I22&lt;&gt;"",COUNTIFS('Work Activity'!$C$3:$C$89,$A22,'Work Activity'!$G$3:$G$89,I22,'Work Activity'!$A$3:$A$89,"&lt;&gt;"&amp;$D22)&gt;0),AND(J22&lt;&gt;"",COUNTIFS('Work Activity'!$C$3:$C$89,$A22,'Work Activity'!$G$3:$G$89,J22,'Work Activity'!$A$3:$A$89,"&lt;&gt;"&amp;$D22)&gt;0)),"YELLOW - DEADLINE CHECK","CLEAR"))</f>
        <v>CLEAR</v>
      </c>
      <c r="M22" t="str">
        <f>TRIM(IF(AND(G22&lt;&gt;"",SUMPRODUCT(($A$3:$A$62=$A22)*($B$3:$B$62&lt;$C22)*($C$3:$C$62&gt;$B22)*(ROW($A$3:$A$62)&lt;&gt;ROW())*((($G$3:$G$62=G22)+($H$3:$H$62=G22)+($I$3:$I$62=G22)+($J$3:$J$62=G22))&gt;0))&gt;0),"RED: "&amp;G22&amp;" bentrok meeting. ","")&amp;IF(AND(G22&lt;&gt;"",NOT(SUMPRODUCT(($A$3:$A$62=$A22)*($B$3:$B$62&lt;$C22)*($C$3:$C$62&gt;$B22)*(ROW($A$3:$A$62)&lt;&gt;ROW())*((($G$3:$G$62=G22)+($H$3:$H$62=G22)+($I$3:$I$62=G22)+($J$3:$J$62=G22))&gt;0))&gt;0),COUNTIFS('Work Activity'!$C$3:$C$89,$A22,'Work Activity'!$G$3:$G$89,G22,'Work Activity'!$A$3:$A$89,"&lt;&gt;"&amp;$D22)&gt;0),"YELLOW: "&amp;G22&amp;" punya deadline project lain pada tanggal yang sama. ","")&amp;IF(AND(H22&lt;&gt;"",SUMPRODUCT(($A$3:$A$62=$A22)*($B$3:$B$62&lt;$C22)*($C$3:$C$62&gt;$B22)*(ROW($A$3:$A$62)&lt;&gt;ROW())*((($G$3:$G$62=H22)+($H$3:$H$62=H22)+($I$3:$I$62=H22)+($J$3:$J$62=H22))&gt;0))&gt;0),"RED: "&amp;H22&amp;" bentrok meeting. ","")&amp;IF(AND(H22&lt;&gt;"",NOT(SUMPRODUCT(($A$3:$A$62=$A22)*($B$3:$B$62&lt;$C22)*($C$3:$C$62&gt;$B22)*(ROW($A$3:$A$62)&lt;&gt;ROW())*((($G$3:$G$62=H22)+($H$3:$H$62=H22)+($I$3:$I$62=H22)+($J$3:$J$62=H22))&gt;0))&gt;0),COUNTIFS('Work Activity'!$C$3:$C$89,$A22,'Work Activity'!$G$3:$G$89,H22,'Work Activity'!$A$3:$A$89,"&lt;&gt;"&amp;$D22)&gt;0),"YELLOW: "&amp;H22&amp;" punya deadline project lain pada tanggal yang sama. ","")&amp;IF(AND(I22&lt;&gt;"",SUMPRODUCT(($A$3:$A$62=$A22)*($B$3:$B$62&lt;$C22)*($C$3:$C$62&gt;$B22)*(ROW($A$3:$A$62)&lt;&gt;ROW())*((($G$3:$G$62=I22)+($H$3:$H$62=I22)+($I$3:$I$62=I22)+($J$3:$J$62=I22))&gt;0))&gt;0),"RED: "&amp;I22&amp;" bentrok meeting. ","")&amp;IF(AND(I22&lt;&gt;"",NOT(SUMPRODUCT(($A$3:$A$62=$A22)*($B$3:$B$62&lt;$C22)*($C$3:$C$62&gt;$B22)*(ROW($A$3:$A$62)&lt;&gt;ROW())*((($G$3:$G$62=I22)+($H$3:$H$62=I22)+($I$3:$I$62=I22)+($J$3:$J$62=I22))&gt;0))&gt;0),COUNTIFS('Work Activity'!$C$3:$C$89,$A22,'Work Activity'!$G$3:$G$89,I22,'Work Activity'!$A$3:$A$89,"&lt;&gt;"&amp;$D22)&gt;0),"YELLOW: "&amp;I22&amp;" punya deadline project lain pada tanggal yang sama. ","")&amp;IF(AND(J22&lt;&gt;"",SUMPRODUCT(($A$3:$A$62=$A22)*($B$3:$B$62&lt;$C22)*($C$3:$C$62&gt;$B22)*(ROW($A$3:$A$62)&lt;&gt;ROW())*((($G$3:$G$62=J22)+($H$3:$H$62=J22)+($I$3:$I$62=J22)+($J$3:$J$62=J22))&gt;0))&gt;0),"RED: "&amp;J22&amp;" bentrok meeting. ","")&amp;IF(AND(J22&lt;&gt;"",NOT(SUMPRODUCT(($A$3:$A$62=$A22)*($B$3:$B$62&lt;$C22)*($C$3:$C$62&gt;$B22)*(ROW($A$3:$A$62)&lt;&gt;ROW())*((($G$3:$G$62=J22)+($H$3:$H$62=J22)+($I$3:$I$62=J22)+($J$3:$J$62=J22))&gt;0))&gt;0),COUNTIFS('Work Activity'!$C$3:$C$89,$A22,'Work Activity'!$G$3:$G$89,J22,'Work Activity'!$A$3:$A$89,"&lt;&gt;"&amp;$D22)&gt;0),"YELLOW: "&amp;J22&amp;" punya deadline project lain pada tanggal yang sama. ",""))</f>
        <v/>
      </c>
      <c r="O22" t="str">
        <f t="shared" si="0"/>
        <v/>
      </c>
    </row>
    <row r="23" spans="1:30">
      <c r="A23" s="9"/>
      <c r="B23" s="12"/>
      <c r="C23" s="12"/>
      <c r="E23" t="str">
        <f>IFERROR(INDEX(Setup!$I$3:$I$17,MATCH($D23,Setup!$H$3:$H$17,0)),"")</f>
        <v/>
      </c>
      <c r="L23" t="str">
        <f>IF(OR(AND(G23&lt;&gt;"",SUMPRODUCT(($A$3:$A$62=$A23)*($B$3:$B$62&lt;$C23)*($C$3:$C$62&gt;$B23)*(ROW($A$3:$A$62)&lt;&gt;ROW())*((($G$3:$G$62=G23)+($H$3:$H$62=G23)+($I$3:$I$62=G23)+($J$3:$J$62=G23))&gt;0))&gt;0),AND(H23&lt;&gt;"",SUMPRODUCT(($A$3:$A$62=$A23)*($B$3:$B$62&lt;$C23)*($C$3:$C$62&gt;$B23)*(ROW($A$3:$A$62)&lt;&gt;ROW())*((($G$3:$G$62=H23)+($H$3:$H$62=H23)+($I$3:$I$62=H23)+($J$3:$J$62=H23))&gt;0))&gt;0),AND(I23&lt;&gt;"",SUMPRODUCT(($A$3:$A$62=$A23)*($B$3:$B$62&lt;$C23)*($C$3:$C$62&gt;$B23)*(ROW($A$3:$A$62)&lt;&gt;ROW())*((($G$3:$G$62=I23)+($H$3:$H$62=I23)+($I$3:$I$62=I23)+($J$3:$J$62=I23))&gt;0))&gt;0),AND(J23&lt;&gt;"",SUMPRODUCT(($A$3:$A$62=$A23)*($B$3:$B$62&lt;$C23)*($C$3:$C$62&gt;$B23)*(ROW($A$3:$A$62)&lt;&gt;ROW())*((($G$3:$G$62=J23)+($H$3:$H$62=J23)+($I$3:$I$62=J23)+($J$3:$J$62=J23))&gt;0))&gt;0)),"RED - MEETING CLASH",IF(OR(AND(G23&lt;&gt;"",COUNTIFS('Work Activity'!$C$3:$C$89,$A23,'Work Activity'!$G$3:$G$89,G23,'Work Activity'!$A$3:$A$89,"&lt;&gt;"&amp;$D23)&gt;0),AND(H23&lt;&gt;"",COUNTIFS('Work Activity'!$C$3:$C$89,$A23,'Work Activity'!$G$3:$G$89,H23,'Work Activity'!$A$3:$A$89,"&lt;&gt;"&amp;$D23)&gt;0),AND(I23&lt;&gt;"",COUNTIFS('Work Activity'!$C$3:$C$89,$A23,'Work Activity'!$G$3:$G$89,I23,'Work Activity'!$A$3:$A$89,"&lt;&gt;"&amp;$D23)&gt;0),AND(J23&lt;&gt;"",COUNTIFS('Work Activity'!$C$3:$C$89,$A23,'Work Activity'!$G$3:$G$89,J23,'Work Activity'!$A$3:$A$89,"&lt;&gt;"&amp;$D23)&gt;0)),"YELLOW - DEADLINE CHECK","CLEAR"))</f>
        <v>CLEAR</v>
      </c>
      <c r="M23" t="str">
        <f>TRIM(IF(AND(G23&lt;&gt;"",SUMPRODUCT(($A$3:$A$62=$A23)*($B$3:$B$62&lt;$C23)*($C$3:$C$62&gt;$B23)*(ROW($A$3:$A$62)&lt;&gt;ROW())*((($G$3:$G$62=G23)+($H$3:$H$62=G23)+($I$3:$I$62=G23)+($J$3:$J$62=G23))&gt;0))&gt;0),"RED: "&amp;G23&amp;" bentrok meeting. ","")&amp;IF(AND(G23&lt;&gt;"",NOT(SUMPRODUCT(($A$3:$A$62=$A23)*($B$3:$B$62&lt;$C23)*($C$3:$C$62&gt;$B23)*(ROW($A$3:$A$62)&lt;&gt;ROW())*((($G$3:$G$62=G23)+($H$3:$H$62=G23)+($I$3:$I$62=G23)+($J$3:$J$62=G23))&gt;0))&gt;0),COUNTIFS('Work Activity'!$C$3:$C$89,$A23,'Work Activity'!$G$3:$G$89,G23,'Work Activity'!$A$3:$A$89,"&lt;&gt;"&amp;$D23)&gt;0),"YELLOW: "&amp;G23&amp;" punya deadline project lain pada tanggal yang sama. ","")&amp;IF(AND(H23&lt;&gt;"",SUMPRODUCT(($A$3:$A$62=$A23)*($B$3:$B$62&lt;$C23)*($C$3:$C$62&gt;$B23)*(ROW($A$3:$A$62)&lt;&gt;ROW())*((($G$3:$G$62=H23)+($H$3:$H$62=H23)+($I$3:$I$62=H23)+($J$3:$J$62=H23))&gt;0))&gt;0),"RED: "&amp;H23&amp;" bentrok meeting. ","")&amp;IF(AND(H23&lt;&gt;"",NOT(SUMPRODUCT(($A$3:$A$62=$A23)*($B$3:$B$62&lt;$C23)*($C$3:$C$62&gt;$B23)*(ROW($A$3:$A$62)&lt;&gt;ROW())*((($G$3:$G$62=H23)+($H$3:$H$62=H23)+($I$3:$I$62=H23)+($J$3:$J$62=H23))&gt;0))&gt;0),COUNTIFS('Work Activity'!$C$3:$C$89,$A23,'Work Activity'!$G$3:$G$89,H23,'Work Activity'!$A$3:$A$89,"&lt;&gt;"&amp;$D23)&gt;0),"YELLOW: "&amp;H23&amp;" punya deadline project lain pada tanggal yang sama. ","")&amp;IF(AND(I23&lt;&gt;"",SUMPRODUCT(($A$3:$A$62=$A23)*($B$3:$B$62&lt;$C23)*($C$3:$C$62&gt;$B23)*(ROW($A$3:$A$62)&lt;&gt;ROW())*((($G$3:$G$62=I23)+($H$3:$H$62=I23)+($I$3:$I$62=I23)+($J$3:$J$62=I23))&gt;0))&gt;0),"RED: "&amp;I23&amp;" bentrok meeting. ","")&amp;IF(AND(I23&lt;&gt;"",NOT(SUMPRODUCT(($A$3:$A$62=$A23)*($B$3:$B$62&lt;$C23)*($C$3:$C$62&gt;$B23)*(ROW($A$3:$A$62)&lt;&gt;ROW())*((($G$3:$G$62=I23)+($H$3:$H$62=I23)+($I$3:$I$62=I23)+($J$3:$J$62=I23))&gt;0))&gt;0),COUNTIFS('Work Activity'!$C$3:$C$89,$A23,'Work Activity'!$G$3:$G$89,I23,'Work Activity'!$A$3:$A$89,"&lt;&gt;"&amp;$D23)&gt;0),"YELLOW: "&amp;I23&amp;" punya deadline project lain pada tanggal yang sama. ","")&amp;IF(AND(J23&lt;&gt;"",SUMPRODUCT(($A$3:$A$62=$A23)*($B$3:$B$62&lt;$C23)*($C$3:$C$62&gt;$B23)*(ROW($A$3:$A$62)&lt;&gt;ROW())*((($G$3:$G$62=J23)+($H$3:$H$62=J23)+($I$3:$I$62=J23)+($J$3:$J$62=J23))&gt;0))&gt;0),"RED: "&amp;J23&amp;" bentrok meeting. ","")&amp;IF(AND(J23&lt;&gt;"",NOT(SUMPRODUCT(($A$3:$A$62=$A23)*($B$3:$B$62&lt;$C23)*($C$3:$C$62&gt;$B23)*(ROW($A$3:$A$62)&lt;&gt;ROW())*((($G$3:$G$62=J23)+($H$3:$H$62=J23)+($I$3:$I$62=J23)+($J$3:$J$62=J23))&gt;0))&gt;0),COUNTIFS('Work Activity'!$C$3:$C$89,$A23,'Work Activity'!$G$3:$G$89,J23,'Work Activity'!$A$3:$A$89,"&lt;&gt;"&amp;$D23)&gt;0),"YELLOW: "&amp;J23&amp;" punya deadline project lain pada tanggal yang sama. ",""))</f>
        <v/>
      </c>
      <c r="O23" t="str">
        <f t="shared" si="0"/>
        <v/>
      </c>
    </row>
    <row r="24" spans="1:30">
      <c r="A24" s="9"/>
      <c r="B24" s="12"/>
      <c r="C24" s="12"/>
      <c r="E24" t="str">
        <f>IFERROR(INDEX(Setup!$I$3:$I$17,MATCH($D24,Setup!$H$3:$H$17,0)),"")</f>
        <v/>
      </c>
      <c r="L24" t="str">
        <f>IF(OR(AND(G24&lt;&gt;"",SUMPRODUCT(($A$3:$A$62=$A24)*($B$3:$B$62&lt;$C24)*($C$3:$C$62&gt;$B24)*(ROW($A$3:$A$62)&lt;&gt;ROW())*((($G$3:$G$62=G24)+($H$3:$H$62=G24)+($I$3:$I$62=G24)+($J$3:$J$62=G24))&gt;0))&gt;0),AND(H24&lt;&gt;"",SUMPRODUCT(($A$3:$A$62=$A24)*($B$3:$B$62&lt;$C24)*($C$3:$C$62&gt;$B24)*(ROW($A$3:$A$62)&lt;&gt;ROW())*((($G$3:$G$62=H24)+($H$3:$H$62=H24)+($I$3:$I$62=H24)+($J$3:$J$62=H24))&gt;0))&gt;0),AND(I24&lt;&gt;"",SUMPRODUCT(($A$3:$A$62=$A24)*($B$3:$B$62&lt;$C24)*($C$3:$C$62&gt;$B24)*(ROW($A$3:$A$62)&lt;&gt;ROW())*((($G$3:$G$62=I24)+($H$3:$H$62=I24)+($I$3:$I$62=I24)+($J$3:$J$62=I24))&gt;0))&gt;0),AND(J24&lt;&gt;"",SUMPRODUCT(($A$3:$A$62=$A24)*($B$3:$B$62&lt;$C24)*($C$3:$C$62&gt;$B24)*(ROW($A$3:$A$62)&lt;&gt;ROW())*((($G$3:$G$62=J24)+($H$3:$H$62=J24)+($I$3:$I$62=J24)+($J$3:$J$62=J24))&gt;0))&gt;0)),"RED - MEETING CLASH",IF(OR(AND(G24&lt;&gt;"",COUNTIFS('Work Activity'!$C$3:$C$89,$A24,'Work Activity'!$G$3:$G$89,G24,'Work Activity'!$A$3:$A$89,"&lt;&gt;"&amp;$D24)&gt;0),AND(H24&lt;&gt;"",COUNTIFS('Work Activity'!$C$3:$C$89,$A24,'Work Activity'!$G$3:$G$89,H24,'Work Activity'!$A$3:$A$89,"&lt;&gt;"&amp;$D24)&gt;0),AND(I24&lt;&gt;"",COUNTIFS('Work Activity'!$C$3:$C$89,$A24,'Work Activity'!$G$3:$G$89,I24,'Work Activity'!$A$3:$A$89,"&lt;&gt;"&amp;$D24)&gt;0),AND(J24&lt;&gt;"",COUNTIFS('Work Activity'!$C$3:$C$89,$A24,'Work Activity'!$G$3:$G$89,J24,'Work Activity'!$A$3:$A$89,"&lt;&gt;"&amp;$D24)&gt;0)),"YELLOW - DEADLINE CHECK","CLEAR"))</f>
        <v>CLEAR</v>
      </c>
      <c r="M24" t="str">
        <f>TRIM(IF(AND(G24&lt;&gt;"",SUMPRODUCT(($A$3:$A$62=$A24)*($B$3:$B$62&lt;$C24)*($C$3:$C$62&gt;$B24)*(ROW($A$3:$A$62)&lt;&gt;ROW())*((($G$3:$G$62=G24)+($H$3:$H$62=G24)+($I$3:$I$62=G24)+($J$3:$J$62=G24))&gt;0))&gt;0),"RED: "&amp;G24&amp;" bentrok meeting. ","")&amp;IF(AND(G24&lt;&gt;"",NOT(SUMPRODUCT(($A$3:$A$62=$A24)*($B$3:$B$62&lt;$C24)*($C$3:$C$62&gt;$B24)*(ROW($A$3:$A$62)&lt;&gt;ROW())*((($G$3:$G$62=G24)+($H$3:$H$62=G24)+($I$3:$I$62=G24)+($J$3:$J$62=G24))&gt;0))&gt;0),COUNTIFS('Work Activity'!$C$3:$C$89,$A24,'Work Activity'!$G$3:$G$89,G24,'Work Activity'!$A$3:$A$89,"&lt;&gt;"&amp;$D24)&gt;0),"YELLOW: "&amp;G24&amp;" punya deadline project lain pada tanggal yang sama. ","")&amp;IF(AND(H24&lt;&gt;"",SUMPRODUCT(($A$3:$A$62=$A24)*($B$3:$B$62&lt;$C24)*($C$3:$C$62&gt;$B24)*(ROW($A$3:$A$62)&lt;&gt;ROW())*((($G$3:$G$62=H24)+($H$3:$H$62=H24)+($I$3:$I$62=H24)+($J$3:$J$62=H24))&gt;0))&gt;0),"RED: "&amp;H24&amp;" bentrok meeting. ","")&amp;IF(AND(H24&lt;&gt;"",NOT(SUMPRODUCT(($A$3:$A$62=$A24)*($B$3:$B$62&lt;$C24)*($C$3:$C$62&gt;$B24)*(ROW($A$3:$A$62)&lt;&gt;ROW())*((($G$3:$G$62=H24)+($H$3:$H$62=H24)+($I$3:$I$62=H24)+($J$3:$J$62=H24))&gt;0))&gt;0),COUNTIFS('Work Activity'!$C$3:$C$89,$A24,'Work Activity'!$G$3:$G$89,H24,'Work Activity'!$A$3:$A$89,"&lt;&gt;"&amp;$D24)&gt;0),"YELLOW: "&amp;H24&amp;" punya deadline project lain pada tanggal yang sama. ","")&amp;IF(AND(I24&lt;&gt;"",SUMPRODUCT(($A$3:$A$62=$A24)*($B$3:$B$62&lt;$C24)*($C$3:$C$62&gt;$B24)*(ROW($A$3:$A$62)&lt;&gt;ROW())*((($G$3:$G$62=I24)+($H$3:$H$62=I24)+($I$3:$I$62=I24)+($J$3:$J$62=I24))&gt;0))&gt;0),"RED: "&amp;I24&amp;" bentrok meeting. ","")&amp;IF(AND(I24&lt;&gt;"",NOT(SUMPRODUCT(($A$3:$A$62=$A24)*($B$3:$B$62&lt;$C24)*($C$3:$C$62&gt;$B24)*(ROW($A$3:$A$62)&lt;&gt;ROW())*((($G$3:$G$62=I24)+($H$3:$H$62=I24)+($I$3:$I$62=I24)+($J$3:$J$62=I24))&gt;0))&gt;0),COUNTIFS('Work Activity'!$C$3:$C$89,$A24,'Work Activity'!$G$3:$G$89,I24,'Work Activity'!$A$3:$A$89,"&lt;&gt;"&amp;$D24)&gt;0),"YELLOW: "&amp;I24&amp;" punya deadline project lain pada tanggal yang sama. ","")&amp;IF(AND(J24&lt;&gt;"",SUMPRODUCT(($A$3:$A$62=$A24)*($B$3:$B$62&lt;$C24)*($C$3:$C$62&gt;$B24)*(ROW($A$3:$A$62)&lt;&gt;ROW())*((($G$3:$G$62=J24)+($H$3:$H$62=J24)+($I$3:$I$62=J24)+($J$3:$J$62=J24))&gt;0))&gt;0),"RED: "&amp;J24&amp;" bentrok meeting. ","")&amp;IF(AND(J24&lt;&gt;"",NOT(SUMPRODUCT(($A$3:$A$62=$A24)*($B$3:$B$62&lt;$C24)*($C$3:$C$62&gt;$B24)*(ROW($A$3:$A$62)&lt;&gt;ROW())*((($G$3:$G$62=J24)+($H$3:$H$62=J24)+($I$3:$I$62=J24)+($J$3:$J$62=J24))&gt;0))&gt;0),COUNTIFS('Work Activity'!$C$3:$C$89,$A24,'Work Activity'!$G$3:$G$89,J24,'Work Activity'!$A$3:$A$89,"&lt;&gt;"&amp;$D24)&gt;0),"YELLOW: "&amp;J24&amp;" punya deadline project lain pada tanggal yang sama. ",""))</f>
        <v/>
      </c>
      <c r="O24" t="str">
        <f t="shared" si="0"/>
        <v/>
      </c>
    </row>
    <row r="25" spans="1:30">
      <c r="A25" s="9"/>
      <c r="B25" s="12"/>
      <c r="C25" s="12"/>
      <c r="E25" t="str">
        <f>IFERROR(INDEX(Setup!$I$3:$I$17,MATCH($D25,Setup!$H$3:$H$17,0)),"")</f>
        <v/>
      </c>
      <c r="L25" t="str">
        <f>IF(OR(AND(G25&lt;&gt;"",SUMPRODUCT(($A$3:$A$62=$A25)*($B$3:$B$62&lt;$C25)*($C$3:$C$62&gt;$B25)*(ROW($A$3:$A$62)&lt;&gt;ROW())*((($G$3:$G$62=G25)+($H$3:$H$62=G25)+($I$3:$I$62=G25)+($J$3:$J$62=G25))&gt;0))&gt;0),AND(H25&lt;&gt;"",SUMPRODUCT(($A$3:$A$62=$A25)*($B$3:$B$62&lt;$C25)*($C$3:$C$62&gt;$B25)*(ROW($A$3:$A$62)&lt;&gt;ROW())*((($G$3:$G$62=H25)+($H$3:$H$62=H25)+($I$3:$I$62=H25)+($J$3:$J$62=H25))&gt;0))&gt;0),AND(I25&lt;&gt;"",SUMPRODUCT(($A$3:$A$62=$A25)*($B$3:$B$62&lt;$C25)*($C$3:$C$62&gt;$B25)*(ROW($A$3:$A$62)&lt;&gt;ROW())*((($G$3:$G$62=I25)+($H$3:$H$62=I25)+($I$3:$I$62=I25)+($J$3:$J$62=I25))&gt;0))&gt;0),AND(J25&lt;&gt;"",SUMPRODUCT(($A$3:$A$62=$A25)*($B$3:$B$62&lt;$C25)*($C$3:$C$62&gt;$B25)*(ROW($A$3:$A$62)&lt;&gt;ROW())*((($G$3:$G$62=J25)+($H$3:$H$62=J25)+($I$3:$I$62=J25)+($J$3:$J$62=J25))&gt;0))&gt;0)),"RED - MEETING CLASH",IF(OR(AND(G25&lt;&gt;"",COUNTIFS('Work Activity'!$C$3:$C$89,$A25,'Work Activity'!$G$3:$G$89,G25,'Work Activity'!$A$3:$A$89,"&lt;&gt;"&amp;$D25)&gt;0),AND(H25&lt;&gt;"",COUNTIFS('Work Activity'!$C$3:$C$89,$A25,'Work Activity'!$G$3:$G$89,H25,'Work Activity'!$A$3:$A$89,"&lt;&gt;"&amp;$D25)&gt;0),AND(I25&lt;&gt;"",COUNTIFS('Work Activity'!$C$3:$C$89,$A25,'Work Activity'!$G$3:$G$89,I25,'Work Activity'!$A$3:$A$89,"&lt;&gt;"&amp;$D25)&gt;0),AND(J25&lt;&gt;"",COUNTIFS('Work Activity'!$C$3:$C$89,$A25,'Work Activity'!$G$3:$G$89,J25,'Work Activity'!$A$3:$A$89,"&lt;&gt;"&amp;$D25)&gt;0)),"YELLOW - DEADLINE CHECK","CLEAR"))</f>
        <v>CLEAR</v>
      </c>
      <c r="M25" t="str">
        <f>TRIM(IF(AND(G25&lt;&gt;"",SUMPRODUCT(($A$3:$A$62=$A25)*($B$3:$B$62&lt;$C25)*($C$3:$C$62&gt;$B25)*(ROW($A$3:$A$62)&lt;&gt;ROW())*((($G$3:$G$62=G25)+($H$3:$H$62=G25)+($I$3:$I$62=G25)+($J$3:$J$62=G25))&gt;0))&gt;0),"RED: "&amp;G25&amp;" bentrok meeting. ","")&amp;IF(AND(G25&lt;&gt;"",NOT(SUMPRODUCT(($A$3:$A$62=$A25)*($B$3:$B$62&lt;$C25)*($C$3:$C$62&gt;$B25)*(ROW($A$3:$A$62)&lt;&gt;ROW())*((($G$3:$G$62=G25)+($H$3:$H$62=G25)+($I$3:$I$62=G25)+($J$3:$J$62=G25))&gt;0))&gt;0),COUNTIFS('Work Activity'!$C$3:$C$89,$A25,'Work Activity'!$G$3:$G$89,G25,'Work Activity'!$A$3:$A$89,"&lt;&gt;"&amp;$D25)&gt;0),"YELLOW: "&amp;G25&amp;" punya deadline project lain pada tanggal yang sama. ","")&amp;IF(AND(H25&lt;&gt;"",SUMPRODUCT(($A$3:$A$62=$A25)*($B$3:$B$62&lt;$C25)*($C$3:$C$62&gt;$B25)*(ROW($A$3:$A$62)&lt;&gt;ROW())*((($G$3:$G$62=H25)+($H$3:$H$62=H25)+($I$3:$I$62=H25)+($J$3:$J$62=H25))&gt;0))&gt;0),"RED: "&amp;H25&amp;" bentrok meeting. ","")&amp;IF(AND(H25&lt;&gt;"",NOT(SUMPRODUCT(($A$3:$A$62=$A25)*($B$3:$B$62&lt;$C25)*($C$3:$C$62&gt;$B25)*(ROW($A$3:$A$62)&lt;&gt;ROW())*((($G$3:$G$62=H25)+($H$3:$H$62=H25)+($I$3:$I$62=H25)+($J$3:$J$62=H25))&gt;0))&gt;0),COUNTIFS('Work Activity'!$C$3:$C$89,$A25,'Work Activity'!$G$3:$G$89,H25,'Work Activity'!$A$3:$A$89,"&lt;&gt;"&amp;$D25)&gt;0),"YELLOW: "&amp;H25&amp;" punya deadline project lain pada tanggal yang sama. ","")&amp;IF(AND(I25&lt;&gt;"",SUMPRODUCT(($A$3:$A$62=$A25)*($B$3:$B$62&lt;$C25)*($C$3:$C$62&gt;$B25)*(ROW($A$3:$A$62)&lt;&gt;ROW())*((($G$3:$G$62=I25)+($H$3:$H$62=I25)+($I$3:$I$62=I25)+($J$3:$J$62=I25))&gt;0))&gt;0),"RED: "&amp;I25&amp;" bentrok meeting. ","")&amp;IF(AND(I25&lt;&gt;"",NOT(SUMPRODUCT(($A$3:$A$62=$A25)*($B$3:$B$62&lt;$C25)*($C$3:$C$62&gt;$B25)*(ROW($A$3:$A$62)&lt;&gt;ROW())*((($G$3:$G$62=I25)+($H$3:$H$62=I25)+($I$3:$I$62=I25)+($J$3:$J$62=I25))&gt;0))&gt;0),COUNTIFS('Work Activity'!$C$3:$C$89,$A25,'Work Activity'!$G$3:$G$89,I25,'Work Activity'!$A$3:$A$89,"&lt;&gt;"&amp;$D25)&gt;0),"YELLOW: "&amp;I25&amp;" punya deadline project lain pada tanggal yang sama. ","")&amp;IF(AND(J25&lt;&gt;"",SUMPRODUCT(($A$3:$A$62=$A25)*($B$3:$B$62&lt;$C25)*($C$3:$C$62&gt;$B25)*(ROW($A$3:$A$62)&lt;&gt;ROW())*((($G$3:$G$62=J25)+($H$3:$H$62=J25)+($I$3:$I$62=J25)+($J$3:$J$62=J25))&gt;0))&gt;0),"RED: "&amp;J25&amp;" bentrok meeting. ","")&amp;IF(AND(J25&lt;&gt;"",NOT(SUMPRODUCT(($A$3:$A$62=$A25)*($B$3:$B$62&lt;$C25)*($C$3:$C$62&gt;$B25)*(ROW($A$3:$A$62)&lt;&gt;ROW())*((($G$3:$G$62=J25)+($H$3:$H$62=J25)+($I$3:$I$62=J25)+($J$3:$J$62=J25))&gt;0))&gt;0),COUNTIFS('Work Activity'!$C$3:$C$89,$A25,'Work Activity'!$G$3:$G$89,J25,'Work Activity'!$A$3:$A$89,"&lt;&gt;"&amp;$D25)&gt;0),"YELLOW: "&amp;J25&amp;" punya deadline project lain pada tanggal yang sama. ",""))</f>
        <v/>
      </c>
      <c r="O25" t="str">
        <f t="shared" si="0"/>
        <v/>
      </c>
    </row>
    <row r="26" spans="1:30">
      <c r="A26" s="9"/>
      <c r="B26" s="12"/>
      <c r="C26" s="12"/>
      <c r="E26" t="str">
        <f>IFERROR(INDEX(Setup!$I$3:$I$17,MATCH($D26,Setup!$H$3:$H$17,0)),"")</f>
        <v/>
      </c>
      <c r="L26" t="str">
        <f>IF(OR(AND(G26&lt;&gt;"",SUMPRODUCT(($A$3:$A$62=$A26)*($B$3:$B$62&lt;$C26)*($C$3:$C$62&gt;$B26)*(ROW($A$3:$A$62)&lt;&gt;ROW())*((($G$3:$G$62=G26)+($H$3:$H$62=G26)+($I$3:$I$62=G26)+($J$3:$J$62=G26))&gt;0))&gt;0),AND(H26&lt;&gt;"",SUMPRODUCT(($A$3:$A$62=$A26)*($B$3:$B$62&lt;$C26)*($C$3:$C$62&gt;$B26)*(ROW($A$3:$A$62)&lt;&gt;ROW())*((($G$3:$G$62=H26)+($H$3:$H$62=H26)+($I$3:$I$62=H26)+($J$3:$J$62=H26))&gt;0))&gt;0),AND(I26&lt;&gt;"",SUMPRODUCT(($A$3:$A$62=$A26)*($B$3:$B$62&lt;$C26)*($C$3:$C$62&gt;$B26)*(ROW($A$3:$A$62)&lt;&gt;ROW())*((($G$3:$G$62=I26)+($H$3:$H$62=I26)+($I$3:$I$62=I26)+($J$3:$J$62=I26))&gt;0))&gt;0),AND(J26&lt;&gt;"",SUMPRODUCT(($A$3:$A$62=$A26)*($B$3:$B$62&lt;$C26)*($C$3:$C$62&gt;$B26)*(ROW($A$3:$A$62)&lt;&gt;ROW())*((($G$3:$G$62=J26)+($H$3:$H$62=J26)+($I$3:$I$62=J26)+($J$3:$J$62=J26))&gt;0))&gt;0)),"RED - MEETING CLASH",IF(OR(AND(G26&lt;&gt;"",COUNTIFS('Work Activity'!$C$3:$C$89,$A26,'Work Activity'!$G$3:$G$89,G26,'Work Activity'!$A$3:$A$89,"&lt;&gt;"&amp;$D26)&gt;0),AND(H26&lt;&gt;"",COUNTIFS('Work Activity'!$C$3:$C$89,$A26,'Work Activity'!$G$3:$G$89,H26,'Work Activity'!$A$3:$A$89,"&lt;&gt;"&amp;$D26)&gt;0),AND(I26&lt;&gt;"",COUNTIFS('Work Activity'!$C$3:$C$89,$A26,'Work Activity'!$G$3:$G$89,I26,'Work Activity'!$A$3:$A$89,"&lt;&gt;"&amp;$D26)&gt;0),AND(J26&lt;&gt;"",COUNTIFS('Work Activity'!$C$3:$C$89,$A26,'Work Activity'!$G$3:$G$89,J26,'Work Activity'!$A$3:$A$89,"&lt;&gt;"&amp;$D26)&gt;0)),"YELLOW - DEADLINE CHECK","CLEAR"))</f>
        <v>CLEAR</v>
      </c>
      <c r="M26" t="str">
        <f>TRIM(IF(AND(G26&lt;&gt;"",SUMPRODUCT(($A$3:$A$62=$A26)*($B$3:$B$62&lt;$C26)*($C$3:$C$62&gt;$B26)*(ROW($A$3:$A$62)&lt;&gt;ROW())*((($G$3:$G$62=G26)+($H$3:$H$62=G26)+($I$3:$I$62=G26)+($J$3:$J$62=G26))&gt;0))&gt;0),"RED: "&amp;G26&amp;" bentrok meeting. ","")&amp;IF(AND(G26&lt;&gt;"",NOT(SUMPRODUCT(($A$3:$A$62=$A26)*($B$3:$B$62&lt;$C26)*($C$3:$C$62&gt;$B26)*(ROW($A$3:$A$62)&lt;&gt;ROW())*((($G$3:$G$62=G26)+($H$3:$H$62=G26)+($I$3:$I$62=G26)+($J$3:$J$62=G26))&gt;0))&gt;0),COUNTIFS('Work Activity'!$C$3:$C$89,$A26,'Work Activity'!$G$3:$G$89,G26,'Work Activity'!$A$3:$A$89,"&lt;&gt;"&amp;$D26)&gt;0),"YELLOW: "&amp;G26&amp;" punya deadline project lain pada tanggal yang sama. ","")&amp;IF(AND(H26&lt;&gt;"",SUMPRODUCT(($A$3:$A$62=$A26)*($B$3:$B$62&lt;$C26)*($C$3:$C$62&gt;$B26)*(ROW($A$3:$A$62)&lt;&gt;ROW())*((($G$3:$G$62=H26)+($H$3:$H$62=H26)+($I$3:$I$62=H26)+($J$3:$J$62=H26))&gt;0))&gt;0),"RED: "&amp;H26&amp;" bentrok meeting. ","")&amp;IF(AND(H26&lt;&gt;"",NOT(SUMPRODUCT(($A$3:$A$62=$A26)*($B$3:$B$62&lt;$C26)*($C$3:$C$62&gt;$B26)*(ROW($A$3:$A$62)&lt;&gt;ROW())*((($G$3:$G$62=H26)+($H$3:$H$62=H26)+($I$3:$I$62=H26)+($J$3:$J$62=H26))&gt;0))&gt;0),COUNTIFS('Work Activity'!$C$3:$C$89,$A26,'Work Activity'!$G$3:$G$89,H26,'Work Activity'!$A$3:$A$89,"&lt;&gt;"&amp;$D26)&gt;0),"YELLOW: "&amp;H26&amp;" punya deadline project lain pada tanggal yang sama. ","")&amp;IF(AND(I26&lt;&gt;"",SUMPRODUCT(($A$3:$A$62=$A26)*($B$3:$B$62&lt;$C26)*($C$3:$C$62&gt;$B26)*(ROW($A$3:$A$62)&lt;&gt;ROW())*((($G$3:$G$62=I26)+($H$3:$H$62=I26)+($I$3:$I$62=I26)+($J$3:$J$62=I26))&gt;0))&gt;0),"RED: "&amp;I26&amp;" bentrok meeting. ","")&amp;IF(AND(I26&lt;&gt;"",NOT(SUMPRODUCT(($A$3:$A$62=$A26)*($B$3:$B$62&lt;$C26)*($C$3:$C$62&gt;$B26)*(ROW($A$3:$A$62)&lt;&gt;ROW())*((($G$3:$G$62=I26)+($H$3:$H$62=I26)+($I$3:$I$62=I26)+($J$3:$J$62=I26))&gt;0))&gt;0),COUNTIFS('Work Activity'!$C$3:$C$89,$A26,'Work Activity'!$G$3:$G$89,I26,'Work Activity'!$A$3:$A$89,"&lt;&gt;"&amp;$D26)&gt;0),"YELLOW: "&amp;I26&amp;" punya deadline project lain pada tanggal yang sama. ","")&amp;IF(AND(J26&lt;&gt;"",SUMPRODUCT(($A$3:$A$62=$A26)*($B$3:$B$62&lt;$C26)*($C$3:$C$62&gt;$B26)*(ROW($A$3:$A$62)&lt;&gt;ROW())*((($G$3:$G$62=J26)+($H$3:$H$62=J26)+($I$3:$I$62=J26)+($J$3:$J$62=J26))&gt;0))&gt;0),"RED: "&amp;J26&amp;" bentrok meeting. ","")&amp;IF(AND(J26&lt;&gt;"",NOT(SUMPRODUCT(($A$3:$A$62=$A26)*($B$3:$B$62&lt;$C26)*($C$3:$C$62&gt;$B26)*(ROW($A$3:$A$62)&lt;&gt;ROW())*((($G$3:$G$62=J26)+($H$3:$H$62=J26)+($I$3:$I$62=J26)+($J$3:$J$62=J26))&gt;0))&gt;0),COUNTIFS('Work Activity'!$C$3:$C$89,$A26,'Work Activity'!$G$3:$G$89,J26,'Work Activity'!$A$3:$A$89,"&lt;&gt;"&amp;$D26)&gt;0),"YELLOW: "&amp;J26&amp;" punya deadline project lain pada tanggal yang sama. ",""))</f>
        <v/>
      </c>
      <c r="O26" t="str">
        <f t="shared" si="0"/>
        <v/>
      </c>
    </row>
    <row r="27" spans="1:30">
      <c r="A27" s="9"/>
      <c r="B27" s="12"/>
      <c r="C27" s="12"/>
      <c r="E27" t="str">
        <f>IFERROR(INDEX(Setup!$I$3:$I$17,MATCH($D27,Setup!$H$3:$H$17,0)),"")</f>
        <v/>
      </c>
      <c r="L27" t="str">
        <f>IF(OR(AND(G27&lt;&gt;"",SUMPRODUCT(($A$3:$A$62=$A27)*($B$3:$B$62&lt;$C27)*($C$3:$C$62&gt;$B27)*(ROW($A$3:$A$62)&lt;&gt;ROW())*((($G$3:$G$62=G27)+($H$3:$H$62=G27)+($I$3:$I$62=G27)+($J$3:$J$62=G27))&gt;0))&gt;0),AND(H27&lt;&gt;"",SUMPRODUCT(($A$3:$A$62=$A27)*($B$3:$B$62&lt;$C27)*($C$3:$C$62&gt;$B27)*(ROW($A$3:$A$62)&lt;&gt;ROW())*((($G$3:$G$62=H27)+($H$3:$H$62=H27)+($I$3:$I$62=H27)+($J$3:$J$62=H27))&gt;0))&gt;0),AND(I27&lt;&gt;"",SUMPRODUCT(($A$3:$A$62=$A27)*($B$3:$B$62&lt;$C27)*($C$3:$C$62&gt;$B27)*(ROW($A$3:$A$62)&lt;&gt;ROW())*((($G$3:$G$62=I27)+($H$3:$H$62=I27)+($I$3:$I$62=I27)+($J$3:$J$62=I27))&gt;0))&gt;0),AND(J27&lt;&gt;"",SUMPRODUCT(($A$3:$A$62=$A27)*($B$3:$B$62&lt;$C27)*($C$3:$C$62&gt;$B27)*(ROW($A$3:$A$62)&lt;&gt;ROW())*((($G$3:$G$62=J27)+($H$3:$H$62=J27)+($I$3:$I$62=J27)+($J$3:$J$62=J27))&gt;0))&gt;0)),"RED - MEETING CLASH",IF(OR(AND(G27&lt;&gt;"",COUNTIFS('Work Activity'!$C$3:$C$89,$A27,'Work Activity'!$G$3:$G$89,G27,'Work Activity'!$A$3:$A$89,"&lt;&gt;"&amp;$D27)&gt;0),AND(H27&lt;&gt;"",COUNTIFS('Work Activity'!$C$3:$C$89,$A27,'Work Activity'!$G$3:$G$89,H27,'Work Activity'!$A$3:$A$89,"&lt;&gt;"&amp;$D27)&gt;0),AND(I27&lt;&gt;"",COUNTIFS('Work Activity'!$C$3:$C$89,$A27,'Work Activity'!$G$3:$G$89,I27,'Work Activity'!$A$3:$A$89,"&lt;&gt;"&amp;$D27)&gt;0),AND(J27&lt;&gt;"",COUNTIFS('Work Activity'!$C$3:$C$89,$A27,'Work Activity'!$G$3:$G$89,J27,'Work Activity'!$A$3:$A$89,"&lt;&gt;"&amp;$D27)&gt;0)),"YELLOW - DEADLINE CHECK","CLEAR"))</f>
        <v>CLEAR</v>
      </c>
      <c r="M27" t="str">
        <f>TRIM(IF(AND(G27&lt;&gt;"",SUMPRODUCT(($A$3:$A$62=$A27)*($B$3:$B$62&lt;$C27)*($C$3:$C$62&gt;$B27)*(ROW($A$3:$A$62)&lt;&gt;ROW())*((($G$3:$G$62=G27)+($H$3:$H$62=G27)+($I$3:$I$62=G27)+($J$3:$J$62=G27))&gt;0))&gt;0),"RED: "&amp;G27&amp;" bentrok meeting. ","")&amp;IF(AND(G27&lt;&gt;"",NOT(SUMPRODUCT(($A$3:$A$62=$A27)*($B$3:$B$62&lt;$C27)*($C$3:$C$62&gt;$B27)*(ROW($A$3:$A$62)&lt;&gt;ROW())*((($G$3:$G$62=G27)+($H$3:$H$62=G27)+($I$3:$I$62=G27)+($J$3:$J$62=G27))&gt;0))&gt;0),COUNTIFS('Work Activity'!$C$3:$C$89,$A27,'Work Activity'!$G$3:$G$89,G27,'Work Activity'!$A$3:$A$89,"&lt;&gt;"&amp;$D27)&gt;0),"YELLOW: "&amp;G27&amp;" punya deadline project lain pada tanggal yang sama. ","")&amp;IF(AND(H27&lt;&gt;"",SUMPRODUCT(($A$3:$A$62=$A27)*($B$3:$B$62&lt;$C27)*($C$3:$C$62&gt;$B27)*(ROW($A$3:$A$62)&lt;&gt;ROW())*((($G$3:$G$62=H27)+($H$3:$H$62=H27)+($I$3:$I$62=H27)+($J$3:$J$62=H27))&gt;0))&gt;0),"RED: "&amp;H27&amp;" bentrok meeting. ","")&amp;IF(AND(H27&lt;&gt;"",NOT(SUMPRODUCT(($A$3:$A$62=$A27)*($B$3:$B$62&lt;$C27)*($C$3:$C$62&gt;$B27)*(ROW($A$3:$A$62)&lt;&gt;ROW())*((($G$3:$G$62=H27)+($H$3:$H$62=H27)+($I$3:$I$62=H27)+($J$3:$J$62=H27))&gt;0))&gt;0),COUNTIFS('Work Activity'!$C$3:$C$89,$A27,'Work Activity'!$G$3:$G$89,H27,'Work Activity'!$A$3:$A$89,"&lt;&gt;"&amp;$D27)&gt;0),"YELLOW: "&amp;H27&amp;" punya deadline project lain pada tanggal yang sama. ","")&amp;IF(AND(I27&lt;&gt;"",SUMPRODUCT(($A$3:$A$62=$A27)*($B$3:$B$62&lt;$C27)*($C$3:$C$62&gt;$B27)*(ROW($A$3:$A$62)&lt;&gt;ROW())*((($G$3:$G$62=I27)+($H$3:$H$62=I27)+($I$3:$I$62=I27)+($J$3:$J$62=I27))&gt;0))&gt;0),"RED: "&amp;I27&amp;" bentrok meeting. ","")&amp;IF(AND(I27&lt;&gt;"",NOT(SUMPRODUCT(($A$3:$A$62=$A27)*($B$3:$B$62&lt;$C27)*($C$3:$C$62&gt;$B27)*(ROW($A$3:$A$62)&lt;&gt;ROW())*((($G$3:$G$62=I27)+($H$3:$H$62=I27)+($I$3:$I$62=I27)+($J$3:$J$62=I27))&gt;0))&gt;0),COUNTIFS('Work Activity'!$C$3:$C$89,$A27,'Work Activity'!$G$3:$G$89,I27,'Work Activity'!$A$3:$A$89,"&lt;&gt;"&amp;$D27)&gt;0),"YELLOW: "&amp;I27&amp;" punya deadline project lain pada tanggal yang sama. ","")&amp;IF(AND(J27&lt;&gt;"",SUMPRODUCT(($A$3:$A$62=$A27)*($B$3:$B$62&lt;$C27)*($C$3:$C$62&gt;$B27)*(ROW($A$3:$A$62)&lt;&gt;ROW())*((($G$3:$G$62=J27)+($H$3:$H$62=J27)+($I$3:$I$62=J27)+($J$3:$J$62=J27))&gt;0))&gt;0),"RED: "&amp;J27&amp;" bentrok meeting. ","")&amp;IF(AND(J27&lt;&gt;"",NOT(SUMPRODUCT(($A$3:$A$62=$A27)*($B$3:$B$62&lt;$C27)*($C$3:$C$62&gt;$B27)*(ROW($A$3:$A$62)&lt;&gt;ROW())*((($G$3:$G$62=J27)+($H$3:$H$62=J27)+($I$3:$I$62=J27)+($J$3:$J$62=J27))&gt;0))&gt;0),COUNTIFS('Work Activity'!$C$3:$C$89,$A27,'Work Activity'!$G$3:$G$89,J27,'Work Activity'!$A$3:$A$89,"&lt;&gt;"&amp;$D27)&gt;0),"YELLOW: "&amp;J27&amp;" punya deadline project lain pada tanggal yang sama. ",""))</f>
        <v/>
      </c>
      <c r="O27" t="str">
        <f t="shared" si="0"/>
        <v/>
      </c>
    </row>
    <row r="28" spans="1:30">
      <c r="A28" s="9"/>
      <c r="B28" s="12"/>
      <c r="C28" s="12"/>
      <c r="E28" t="str">
        <f>IFERROR(INDEX(Setup!$I$3:$I$17,MATCH($D28,Setup!$H$3:$H$17,0)),"")</f>
        <v/>
      </c>
      <c r="L28" t="str">
        <f>IF(OR(AND(G28&lt;&gt;"",SUMPRODUCT(($A$3:$A$62=$A28)*($B$3:$B$62&lt;$C28)*($C$3:$C$62&gt;$B28)*(ROW($A$3:$A$62)&lt;&gt;ROW())*((($G$3:$G$62=G28)+($H$3:$H$62=G28)+($I$3:$I$62=G28)+($J$3:$J$62=G28))&gt;0))&gt;0),AND(H28&lt;&gt;"",SUMPRODUCT(($A$3:$A$62=$A28)*($B$3:$B$62&lt;$C28)*($C$3:$C$62&gt;$B28)*(ROW($A$3:$A$62)&lt;&gt;ROW())*((($G$3:$G$62=H28)+($H$3:$H$62=H28)+($I$3:$I$62=H28)+($J$3:$J$62=H28))&gt;0))&gt;0),AND(I28&lt;&gt;"",SUMPRODUCT(($A$3:$A$62=$A28)*($B$3:$B$62&lt;$C28)*($C$3:$C$62&gt;$B28)*(ROW($A$3:$A$62)&lt;&gt;ROW())*((($G$3:$G$62=I28)+($H$3:$H$62=I28)+($I$3:$I$62=I28)+($J$3:$J$62=I28))&gt;0))&gt;0),AND(J28&lt;&gt;"",SUMPRODUCT(($A$3:$A$62=$A28)*($B$3:$B$62&lt;$C28)*($C$3:$C$62&gt;$B28)*(ROW($A$3:$A$62)&lt;&gt;ROW())*((($G$3:$G$62=J28)+($H$3:$H$62=J28)+($I$3:$I$62=J28)+($J$3:$J$62=J28))&gt;0))&gt;0)),"RED - MEETING CLASH",IF(OR(AND(G28&lt;&gt;"",COUNTIFS('Work Activity'!$C$3:$C$89,$A28,'Work Activity'!$G$3:$G$89,G28,'Work Activity'!$A$3:$A$89,"&lt;&gt;"&amp;$D28)&gt;0),AND(H28&lt;&gt;"",COUNTIFS('Work Activity'!$C$3:$C$89,$A28,'Work Activity'!$G$3:$G$89,H28,'Work Activity'!$A$3:$A$89,"&lt;&gt;"&amp;$D28)&gt;0),AND(I28&lt;&gt;"",COUNTIFS('Work Activity'!$C$3:$C$89,$A28,'Work Activity'!$G$3:$G$89,I28,'Work Activity'!$A$3:$A$89,"&lt;&gt;"&amp;$D28)&gt;0),AND(J28&lt;&gt;"",COUNTIFS('Work Activity'!$C$3:$C$89,$A28,'Work Activity'!$G$3:$G$89,J28,'Work Activity'!$A$3:$A$89,"&lt;&gt;"&amp;$D28)&gt;0)),"YELLOW - DEADLINE CHECK","CLEAR"))</f>
        <v>CLEAR</v>
      </c>
      <c r="M28" t="str">
        <f>TRIM(IF(AND(G28&lt;&gt;"",SUMPRODUCT(($A$3:$A$62=$A28)*($B$3:$B$62&lt;$C28)*($C$3:$C$62&gt;$B28)*(ROW($A$3:$A$62)&lt;&gt;ROW())*((($G$3:$G$62=G28)+($H$3:$H$62=G28)+($I$3:$I$62=G28)+($J$3:$J$62=G28))&gt;0))&gt;0),"RED: "&amp;G28&amp;" bentrok meeting. ","")&amp;IF(AND(G28&lt;&gt;"",NOT(SUMPRODUCT(($A$3:$A$62=$A28)*($B$3:$B$62&lt;$C28)*($C$3:$C$62&gt;$B28)*(ROW($A$3:$A$62)&lt;&gt;ROW())*((($G$3:$G$62=G28)+($H$3:$H$62=G28)+($I$3:$I$62=G28)+($J$3:$J$62=G28))&gt;0))&gt;0),COUNTIFS('Work Activity'!$C$3:$C$89,$A28,'Work Activity'!$G$3:$G$89,G28,'Work Activity'!$A$3:$A$89,"&lt;&gt;"&amp;$D28)&gt;0),"YELLOW: "&amp;G28&amp;" punya deadline project lain pada tanggal yang sama. ","")&amp;IF(AND(H28&lt;&gt;"",SUMPRODUCT(($A$3:$A$62=$A28)*($B$3:$B$62&lt;$C28)*($C$3:$C$62&gt;$B28)*(ROW($A$3:$A$62)&lt;&gt;ROW())*((($G$3:$G$62=H28)+($H$3:$H$62=H28)+($I$3:$I$62=H28)+($J$3:$J$62=H28))&gt;0))&gt;0),"RED: "&amp;H28&amp;" bentrok meeting. ","")&amp;IF(AND(H28&lt;&gt;"",NOT(SUMPRODUCT(($A$3:$A$62=$A28)*($B$3:$B$62&lt;$C28)*($C$3:$C$62&gt;$B28)*(ROW($A$3:$A$62)&lt;&gt;ROW())*((($G$3:$G$62=H28)+($H$3:$H$62=H28)+($I$3:$I$62=H28)+($J$3:$J$62=H28))&gt;0))&gt;0),COUNTIFS('Work Activity'!$C$3:$C$89,$A28,'Work Activity'!$G$3:$G$89,H28,'Work Activity'!$A$3:$A$89,"&lt;&gt;"&amp;$D28)&gt;0),"YELLOW: "&amp;H28&amp;" punya deadline project lain pada tanggal yang sama. ","")&amp;IF(AND(I28&lt;&gt;"",SUMPRODUCT(($A$3:$A$62=$A28)*($B$3:$B$62&lt;$C28)*($C$3:$C$62&gt;$B28)*(ROW($A$3:$A$62)&lt;&gt;ROW())*((($G$3:$G$62=I28)+($H$3:$H$62=I28)+($I$3:$I$62=I28)+($J$3:$J$62=I28))&gt;0))&gt;0),"RED: "&amp;I28&amp;" bentrok meeting. ","")&amp;IF(AND(I28&lt;&gt;"",NOT(SUMPRODUCT(($A$3:$A$62=$A28)*($B$3:$B$62&lt;$C28)*($C$3:$C$62&gt;$B28)*(ROW($A$3:$A$62)&lt;&gt;ROW())*((($G$3:$G$62=I28)+($H$3:$H$62=I28)+($I$3:$I$62=I28)+($J$3:$J$62=I28))&gt;0))&gt;0),COUNTIFS('Work Activity'!$C$3:$C$89,$A28,'Work Activity'!$G$3:$G$89,I28,'Work Activity'!$A$3:$A$89,"&lt;&gt;"&amp;$D28)&gt;0),"YELLOW: "&amp;I28&amp;" punya deadline project lain pada tanggal yang sama. ","")&amp;IF(AND(J28&lt;&gt;"",SUMPRODUCT(($A$3:$A$62=$A28)*($B$3:$B$62&lt;$C28)*($C$3:$C$62&gt;$B28)*(ROW($A$3:$A$62)&lt;&gt;ROW())*((($G$3:$G$62=J28)+($H$3:$H$62=J28)+($I$3:$I$62=J28)+($J$3:$J$62=J28))&gt;0))&gt;0),"RED: "&amp;J28&amp;" bentrok meeting. ","")&amp;IF(AND(J28&lt;&gt;"",NOT(SUMPRODUCT(($A$3:$A$62=$A28)*($B$3:$B$62&lt;$C28)*($C$3:$C$62&gt;$B28)*(ROW($A$3:$A$62)&lt;&gt;ROW())*((($G$3:$G$62=J28)+($H$3:$H$62=J28)+($I$3:$I$62=J28)+($J$3:$J$62=J28))&gt;0))&gt;0),COUNTIFS('Work Activity'!$C$3:$C$89,$A28,'Work Activity'!$G$3:$G$89,J28,'Work Activity'!$A$3:$A$89,"&lt;&gt;"&amp;$D28)&gt;0),"YELLOW: "&amp;J28&amp;" punya deadline project lain pada tanggal yang sama. ",""))</f>
        <v/>
      </c>
      <c r="O28" t="str">
        <f t="shared" si="0"/>
        <v/>
      </c>
    </row>
    <row r="29" spans="1:30">
      <c r="A29" s="9"/>
      <c r="B29" s="12"/>
      <c r="C29" s="12"/>
      <c r="E29" t="str">
        <f>IFERROR(INDEX(Setup!$I$3:$I$17,MATCH($D29,Setup!$H$3:$H$17,0)),"")</f>
        <v/>
      </c>
      <c r="L29" t="str">
        <f>IF(OR(AND(G29&lt;&gt;"",SUMPRODUCT(($A$3:$A$62=$A29)*($B$3:$B$62&lt;$C29)*($C$3:$C$62&gt;$B29)*(ROW($A$3:$A$62)&lt;&gt;ROW())*((($G$3:$G$62=G29)+($H$3:$H$62=G29)+($I$3:$I$62=G29)+($J$3:$J$62=G29))&gt;0))&gt;0),AND(H29&lt;&gt;"",SUMPRODUCT(($A$3:$A$62=$A29)*($B$3:$B$62&lt;$C29)*($C$3:$C$62&gt;$B29)*(ROW($A$3:$A$62)&lt;&gt;ROW())*((($G$3:$G$62=H29)+($H$3:$H$62=H29)+($I$3:$I$62=H29)+($J$3:$J$62=H29))&gt;0))&gt;0),AND(I29&lt;&gt;"",SUMPRODUCT(($A$3:$A$62=$A29)*($B$3:$B$62&lt;$C29)*($C$3:$C$62&gt;$B29)*(ROW($A$3:$A$62)&lt;&gt;ROW())*((($G$3:$G$62=I29)+($H$3:$H$62=I29)+($I$3:$I$62=I29)+($J$3:$J$62=I29))&gt;0))&gt;0),AND(J29&lt;&gt;"",SUMPRODUCT(($A$3:$A$62=$A29)*($B$3:$B$62&lt;$C29)*($C$3:$C$62&gt;$B29)*(ROW($A$3:$A$62)&lt;&gt;ROW())*((($G$3:$G$62=J29)+($H$3:$H$62=J29)+($I$3:$I$62=J29)+($J$3:$J$62=J29))&gt;0))&gt;0)),"RED - MEETING CLASH",IF(OR(AND(G29&lt;&gt;"",COUNTIFS('Work Activity'!$C$3:$C$89,$A29,'Work Activity'!$G$3:$G$89,G29,'Work Activity'!$A$3:$A$89,"&lt;&gt;"&amp;$D29)&gt;0),AND(H29&lt;&gt;"",COUNTIFS('Work Activity'!$C$3:$C$89,$A29,'Work Activity'!$G$3:$G$89,H29,'Work Activity'!$A$3:$A$89,"&lt;&gt;"&amp;$D29)&gt;0),AND(I29&lt;&gt;"",COUNTIFS('Work Activity'!$C$3:$C$89,$A29,'Work Activity'!$G$3:$G$89,I29,'Work Activity'!$A$3:$A$89,"&lt;&gt;"&amp;$D29)&gt;0),AND(J29&lt;&gt;"",COUNTIFS('Work Activity'!$C$3:$C$89,$A29,'Work Activity'!$G$3:$G$89,J29,'Work Activity'!$A$3:$A$89,"&lt;&gt;"&amp;$D29)&gt;0)),"YELLOW - DEADLINE CHECK","CLEAR"))</f>
        <v>CLEAR</v>
      </c>
      <c r="M29" t="str">
        <f>TRIM(IF(AND(G29&lt;&gt;"",SUMPRODUCT(($A$3:$A$62=$A29)*($B$3:$B$62&lt;$C29)*($C$3:$C$62&gt;$B29)*(ROW($A$3:$A$62)&lt;&gt;ROW())*((($G$3:$G$62=G29)+($H$3:$H$62=G29)+($I$3:$I$62=G29)+($J$3:$J$62=G29))&gt;0))&gt;0),"RED: "&amp;G29&amp;" bentrok meeting. ","")&amp;IF(AND(G29&lt;&gt;"",NOT(SUMPRODUCT(($A$3:$A$62=$A29)*($B$3:$B$62&lt;$C29)*($C$3:$C$62&gt;$B29)*(ROW($A$3:$A$62)&lt;&gt;ROW())*((($G$3:$G$62=G29)+($H$3:$H$62=G29)+($I$3:$I$62=G29)+($J$3:$J$62=G29))&gt;0))&gt;0),COUNTIFS('Work Activity'!$C$3:$C$89,$A29,'Work Activity'!$G$3:$G$89,G29,'Work Activity'!$A$3:$A$89,"&lt;&gt;"&amp;$D29)&gt;0),"YELLOW: "&amp;G29&amp;" punya deadline project lain pada tanggal yang sama. ","")&amp;IF(AND(H29&lt;&gt;"",SUMPRODUCT(($A$3:$A$62=$A29)*($B$3:$B$62&lt;$C29)*($C$3:$C$62&gt;$B29)*(ROW($A$3:$A$62)&lt;&gt;ROW())*((($G$3:$G$62=H29)+($H$3:$H$62=H29)+($I$3:$I$62=H29)+($J$3:$J$62=H29))&gt;0))&gt;0),"RED: "&amp;H29&amp;" bentrok meeting. ","")&amp;IF(AND(H29&lt;&gt;"",NOT(SUMPRODUCT(($A$3:$A$62=$A29)*($B$3:$B$62&lt;$C29)*($C$3:$C$62&gt;$B29)*(ROW($A$3:$A$62)&lt;&gt;ROW())*((($G$3:$G$62=H29)+($H$3:$H$62=H29)+($I$3:$I$62=H29)+($J$3:$J$62=H29))&gt;0))&gt;0),COUNTIFS('Work Activity'!$C$3:$C$89,$A29,'Work Activity'!$G$3:$G$89,H29,'Work Activity'!$A$3:$A$89,"&lt;&gt;"&amp;$D29)&gt;0),"YELLOW: "&amp;H29&amp;" punya deadline project lain pada tanggal yang sama. ","")&amp;IF(AND(I29&lt;&gt;"",SUMPRODUCT(($A$3:$A$62=$A29)*($B$3:$B$62&lt;$C29)*($C$3:$C$62&gt;$B29)*(ROW($A$3:$A$62)&lt;&gt;ROW())*((($G$3:$G$62=I29)+($H$3:$H$62=I29)+($I$3:$I$62=I29)+($J$3:$J$62=I29))&gt;0))&gt;0),"RED: "&amp;I29&amp;" bentrok meeting. ","")&amp;IF(AND(I29&lt;&gt;"",NOT(SUMPRODUCT(($A$3:$A$62=$A29)*($B$3:$B$62&lt;$C29)*($C$3:$C$62&gt;$B29)*(ROW($A$3:$A$62)&lt;&gt;ROW())*((($G$3:$G$62=I29)+($H$3:$H$62=I29)+($I$3:$I$62=I29)+($J$3:$J$62=I29))&gt;0))&gt;0),COUNTIFS('Work Activity'!$C$3:$C$89,$A29,'Work Activity'!$G$3:$G$89,I29,'Work Activity'!$A$3:$A$89,"&lt;&gt;"&amp;$D29)&gt;0),"YELLOW: "&amp;I29&amp;" punya deadline project lain pada tanggal yang sama. ","")&amp;IF(AND(J29&lt;&gt;"",SUMPRODUCT(($A$3:$A$62=$A29)*($B$3:$B$62&lt;$C29)*($C$3:$C$62&gt;$B29)*(ROW($A$3:$A$62)&lt;&gt;ROW())*((($G$3:$G$62=J29)+($H$3:$H$62=J29)+($I$3:$I$62=J29)+($J$3:$J$62=J29))&gt;0))&gt;0),"RED: "&amp;J29&amp;" bentrok meeting. ","")&amp;IF(AND(J29&lt;&gt;"",NOT(SUMPRODUCT(($A$3:$A$62=$A29)*($B$3:$B$62&lt;$C29)*($C$3:$C$62&gt;$B29)*(ROW($A$3:$A$62)&lt;&gt;ROW())*((($G$3:$G$62=J29)+($H$3:$H$62=J29)+($I$3:$I$62=J29)+($J$3:$J$62=J29))&gt;0))&gt;0),COUNTIFS('Work Activity'!$C$3:$C$89,$A29,'Work Activity'!$G$3:$G$89,J29,'Work Activity'!$A$3:$A$89,"&lt;&gt;"&amp;$D29)&gt;0),"YELLOW: "&amp;J29&amp;" punya deadline project lain pada tanggal yang sama. ",""))</f>
        <v/>
      </c>
      <c r="O29" t="str">
        <f t="shared" si="0"/>
        <v/>
      </c>
    </row>
    <row r="30" spans="1:30">
      <c r="A30" s="9"/>
      <c r="B30" s="12"/>
      <c r="C30" s="12"/>
      <c r="E30" t="str">
        <f>IFERROR(INDEX(Setup!$I$3:$I$17,MATCH($D30,Setup!$H$3:$H$17,0)),"")</f>
        <v/>
      </c>
      <c r="L30" t="str">
        <f>IF(OR(AND(G30&lt;&gt;"",SUMPRODUCT(($A$3:$A$62=$A30)*($B$3:$B$62&lt;$C30)*($C$3:$C$62&gt;$B30)*(ROW($A$3:$A$62)&lt;&gt;ROW())*((($G$3:$G$62=G30)+($H$3:$H$62=G30)+($I$3:$I$62=G30)+($J$3:$J$62=G30))&gt;0))&gt;0),AND(H30&lt;&gt;"",SUMPRODUCT(($A$3:$A$62=$A30)*($B$3:$B$62&lt;$C30)*($C$3:$C$62&gt;$B30)*(ROW($A$3:$A$62)&lt;&gt;ROW())*((($G$3:$G$62=H30)+($H$3:$H$62=H30)+($I$3:$I$62=H30)+($J$3:$J$62=H30))&gt;0))&gt;0),AND(I30&lt;&gt;"",SUMPRODUCT(($A$3:$A$62=$A30)*($B$3:$B$62&lt;$C30)*($C$3:$C$62&gt;$B30)*(ROW($A$3:$A$62)&lt;&gt;ROW())*((($G$3:$G$62=I30)+($H$3:$H$62=I30)+($I$3:$I$62=I30)+($J$3:$J$62=I30))&gt;0))&gt;0),AND(J30&lt;&gt;"",SUMPRODUCT(($A$3:$A$62=$A30)*($B$3:$B$62&lt;$C30)*($C$3:$C$62&gt;$B30)*(ROW($A$3:$A$62)&lt;&gt;ROW())*((($G$3:$G$62=J30)+($H$3:$H$62=J30)+($I$3:$I$62=J30)+($J$3:$J$62=J30))&gt;0))&gt;0)),"RED - MEETING CLASH",IF(OR(AND(G30&lt;&gt;"",COUNTIFS('Work Activity'!$C$3:$C$89,$A30,'Work Activity'!$G$3:$G$89,G30,'Work Activity'!$A$3:$A$89,"&lt;&gt;"&amp;$D30)&gt;0),AND(H30&lt;&gt;"",COUNTIFS('Work Activity'!$C$3:$C$89,$A30,'Work Activity'!$G$3:$G$89,H30,'Work Activity'!$A$3:$A$89,"&lt;&gt;"&amp;$D30)&gt;0),AND(I30&lt;&gt;"",COUNTIFS('Work Activity'!$C$3:$C$89,$A30,'Work Activity'!$G$3:$G$89,I30,'Work Activity'!$A$3:$A$89,"&lt;&gt;"&amp;$D30)&gt;0),AND(J30&lt;&gt;"",COUNTIFS('Work Activity'!$C$3:$C$89,$A30,'Work Activity'!$G$3:$G$89,J30,'Work Activity'!$A$3:$A$89,"&lt;&gt;"&amp;$D30)&gt;0)),"YELLOW - DEADLINE CHECK","CLEAR"))</f>
        <v>CLEAR</v>
      </c>
      <c r="M30" t="str">
        <f>TRIM(IF(AND(G30&lt;&gt;"",SUMPRODUCT(($A$3:$A$62=$A30)*($B$3:$B$62&lt;$C30)*($C$3:$C$62&gt;$B30)*(ROW($A$3:$A$62)&lt;&gt;ROW())*((($G$3:$G$62=G30)+($H$3:$H$62=G30)+($I$3:$I$62=G30)+($J$3:$J$62=G30))&gt;0))&gt;0),"RED: "&amp;G30&amp;" bentrok meeting. ","")&amp;IF(AND(G30&lt;&gt;"",NOT(SUMPRODUCT(($A$3:$A$62=$A30)*($B$3:$B$62&lt;$C30)*($C$3:$C$62&gt;$B30)*(ROW($A$3:$A$62)&lt;&gt;ROW())*((($G$3:$G$62=G30)+($H$3:$H$62=G30)+($I$3:$I$62=G30)+($J$3:$J$62=G30))&gt;0))&gt;0),COUNTIFS('Work Activity'!$C$3:$C$89,$A30,'Work Activity'!$G$3:$G$89,G30,'Work Activity'!$A$3:$A$89,"&lt;&gt;"&amp;$D30)&gt;0),"YELLOW: "&amp;G30&amp;" punya deadline project lain pada tanggal yang sama. ","")&amp;IF(AND(H30&lt;&gt;"",SUMPRODUCT(($A$3:$A$62=$A30)*($B$3:$B$62&lt;$C30)*($C$3:$C$62&gt;$B30)*(ROW($A$3:$A$62)&lt;&gt;ROW())*((($G$3:$G$62=H30)+($H$3:$H$62=H30)+($I$3:$I$62=H30)+($J$3:$J$62=H30))&gt;0))&gt;0),"RED: "&amp;H30&amp;" bentrok meeting. ","")&amp;IF(AND(H30&lt;&gt;"",NOT(SUMPRODUCT(($A$3:$A$62=$A30)*($B$3:$B$62&lt;$C30)*($C$3:$C$62&gt;$B30)*(ROW($A$3:$A$62)&lt;&gt;ROW())*((($G$3:$G$62=H30)+($H$3:$H$62=H30)+($I$3:$I$62=H30)+($J$3:$J$62=H30))&gt;0))&gt;0),COUNTIFS('Work Activity'!$C$3:$C$89,$A30,'Work Activity'!$G$3:$G$89,H30,'Work Activity'!$A$3:$A$89,"&lt;&gt;"&amp;$D30)&gt;0),"YELLOW: "&amp;H30&amp;" punya deadline project lain pada tanggal yang sama. ","")&amp;IF(AND(I30&lt;&gt;"",SUMPRODUCT(($A$3:$A$62=$A30)*($B$3:$B$62&lt;$C30)*($C$3:$C$62&gt;$B30)*(ROW($A$3:$A$62)&lt;&gt;ROW())*((($G$3:$G$62=I30)+($H$3:$H$62=I30)+($I$3:$I$62=I30)+($J$3:$J$62=I30))&gt;0))&gt;0),"RED: "&amp;I30&amp;" bentrok meeting. ","")&amp;IF(AND(I30&lt;&gt;"",NOT(SUMPRODUCT(($A$3:$A$62=$A30)*($B$3:$B$62&lt;$C30)*($C$3:$C$62&gt;$B30)*(ROW($A$3:$A$62)&lt;&gt;ROW())*((($G$3:$G$62=I30)+($H$3:$H$62=I30)+($I$3:$I$62=I30)+($J$3:$J$62=I30))&gt;0))&gt;0),COUNTIFS('Work Activity'!$C$3:$C$89,$A30,'Work Activity'!$G$3:$G$89,I30,'Work Activity'!$A$3:$A$89,"&lt;&gt;"&amp;$D30)&gt;0),"YELLOW: "&amp;I30&amp;" punya deadline project lain pada tanggal yang sama. ","")&amp;IF(AND(J30&lt;&gt;"",SUMPRODUCT(($A$3:$A$62=$A30)*($B$3:$B$62&lt;$C30)*($C$3:$C$62&gt;$B30)*(ROW($A$3:$A$62)&lt;&gt;ROW())*((($G$3:$G$62=J30)+($H$3:$H$62=J30)+($I$3:$I$62=J30)+($J$3:$J$62=J30))&gt;0))&gt;0),"RED: "&amp;J30&amp;" bentrok meeting. ","")&amp;IF(AND(J30&lt;&gt;"",NOT(SUMPRODUCT(($A$3:$A$62=$A30)*($B$3:$B$62&lt;$C30)*($C$3:$C$62&gt;$B30)*(ROW($A$3:$A$62)&lt;&gt;ROW())*((($G$3:$G$62=J30)+($H$3:$H$62=J30)+($I$3:$I$62=J30)+($J$3:$J$62=J30))&gt;0))&gt;0),COUNTIFS('Work Activity'!$C$3:$C$89,$A30,'Work Activity'!$G$3:$G$89,J30,'Work Activity'!$A$3:$A$89,"&lt;&gt;"&amp;$D30)&gt;0),"YELLOW: "&amp;J30&amp;" punya deadline project lain pada tanggal yang sama. ",""))</f>
        <v/>
      </c>
      <c r="O30" t="str">
        <f t="shared" si="0"/>
        <v/>
      </c>
    </row>
    <row r="31" spans="1:30">
      <c r="A31" s="9"/>
      <c r="B31" s="12"/>
      <c r="C31" s="12"/>
      <c r="E31" t="str">
        <f>IFERROR(INDEX(Setup!$I$3:$I$17,MATCH($D31,Setup!$H$3:$H$17,0)),"")</f>
        <v/>
      </c>
      <c r="L31" t="str">
        <f>IF(OR(AND(G31&lt;&gt;"",SUMPRODUCT(($A$3:$A$62=$A31)*($B$3:$B$62&lt;$C31)*($C$3:$C$62&gt;$B31)*(ROW($A$3:$A$62)&lt;&gt;ROW())*((($G$3:$G$62=G31)+($H$3:$H$62=G31)+($I$3:$I$62=G31)+($J$3:$J$62=G31))&gt;0))&gt;0),AND(H31&lt;&gt;"",SUMPRODUCT(($A$3:$A$62=$A31)*($B$3:$B$62&lt;$C31)*($C$3:$C$62&gt;$B31)*(ROW($A$3:$A$62)&lt;&gt;ROW())*((($G$3:$G$62=H31)+($H$3:$H$62=H31)+($I$3:$I$62=H31)+($J$3:$J$62=H31))&gt;0))&gt;0),AND(I31&lt;&gt;"",SUMPRODUCT(($A$3:$A$62=$A31)*($B$3:$B$62&lt;$C31)*($C$3:$C$62&gt;$B31)*(ROW($A$3:$A$62)&lt;&gt;ROW())*((($G$3:$G$62=I31)+($H$3:$H$62=I31)+($I$3:$I$62=I31)+($J$3:$J$62=I31))&gt;0))&gt;0),AND(J31&lt;&gt;"",SUMPRODUCT(($A$3:$A$62=$A31)*($B$3:$B$62&lt;$C31)*($C$3:$C$62&gt;$B31)*(ROW($A$3:$A$62)&lt;&gt;ROW())*((($G$3:$G$62=J31)+($H$3:$H$62=J31)+($I$3:$I$62=J31)+($J$3:$J$62=J31))&gt;0))&gt;0)),"RED - MEETING CLASH",IF(OR(AND(G31&lt;&gt;"",COUNTIFS('Work Activity'!$C$3:$C$89,$A31,'Work Activity'!$G$3:$G$89,G31,'Work Activity'!$A$3:$A$89,"&lt;&gt;"&amp;$D31)&gt;0),AND(H31&lt;&gt;"",COUNTIFS('Work Activity'!$C$3:$C$89,$A31,'Work Activity'!$G$3:$G$89,H31,'Work Activity'!$A$3:$A$89,"&lt;&gt;"&amp;$D31)&gt;0),AND(I31&lt;&gt;"",COUNTIFS('Work Activity'!$C$3:$C$89,$A31,'Work Activity'!$G$3:$G$89,I31,'Work Activity'!$A$3:$A$89,"&lt;&gt;"&amp;$D31)&gt;0),AND(J31&lt;&gt;"",COUNTIFS('Work Activity'!$C$3:$C$89,$A31,'Work Activity'!$G$3:$G$89,J31,'Work Activity'!$A$3:$A$89,"&lt;&gt;"&amp;$D31)&gt;0)),"YELLOW - DEADLINE CHECK","CLEAR"))</f>
        <v>CLEAR</v>
      </c>
      <c r="M31" t="str">
        <f>TRIM(IF(AND(G31&lt;&gt;"",SUMPRODUCT(($A$3:$A$62=$A31)*($B$3:$B$62&lt;$C31)*($C$3:$C$62&gt;$B31)*(ROW($A$3:$A$62)&lt;&gt;ROW())*((($G$3:$G$62=G31)+($H$3:$H$62=G31)+($I$3:$I$62=G31)+($J$3:$J$62=G31))&gt;0))&gt;0),"RED: "&amp;G31&amp;" bentrok meeting. ","")&amp;IF(AND(G31&lt;&gt;"",NOT(SUMPRODUCT(($A$3:$A$62=$A31)*($B$3:$B$62&lt;$C31)*($C$3:$C$62&gt;$B31)*(ROW($A$3:$A$62)&lt;&gt;ROW())*((($G$3:$G$62=G31)+($H$3:$H$62=G31)+($I$3:$I$62=G31)+($J$3:$J$62=G31))&gt;0))&gt;0),COUNTIFS('Work Activity'!$C$3:$C$89,$A31,'Work Activity'!$G$3:$G$89,G31,'Work Activity'!$A$3:$A$89,"&lt;&gt;"&amp;$D31)&gt;0),"YELLOW: "&amp;G31&amp;" punya deadline project lain pada tanggal yang sama. ","")&amp;IF(AND(H31&lt;&gt;"",SUMPRODUCT(($A$3:$A$62=$A31)*($B$3:$B$62&lt;$C31)*($C$3:$C$62&gt;$B31)*(ROW($A$3:$A$62)&lt;&gt;ROW())*((($G$3:$G$62=H31)+($H$3:$H$62=H31)+($I$3:$I$62=H31)+($J$3:$J$62=H31))&gt;0))&gt;0),"RED: "&amp;H31&amp;" bentrok meeting. ","")&amp;IF(AND(H31&lt;&gt;"",NOT(SUMPRODUCT(($A$3:$A$62=$A31)*($B$3:$B$62&lt;$C31)*($C$3:$C$62&gt;$B31)*(ROW($A$3:$A$62)&lt;&gt;ROW())*((($G$3:$G$62=H31)+($H$3:$H$62=H31)+($I$3:$I$62=H31)+($J$3:$J$62=H31))&gt;0))&gt;0),COUNTIFS('Work Activity'!$C$3:$C$89,$A31,'Work Activity'!$G$3:$G$89,H31,'Work Activity'!$A$3:$A$89,"&lt;&gt;"&amp;$D31)&gt;0),"YELLOW: "&amp;H31&amp;" punya deadline project lain pada tanggal yang sama. ","")&amp;IF(AND(I31&lt;&gt;"",SUMPRODUCT(($A$3:$A$62=$A31)*($B$3:$B$62&lt;$C31)*($C$3:$C$62&gt;$B31)*(ROW($A$3:$A$62)&lt;&gt;ROW())*((($G$3:$G$62=I31)+($H$3:$H$62=I31)+($I$3:$I$62=I31)+($J$3:$J$62=I31))&gt;0))&gt;0),"RED: "&amp;I31&amp;" bentrok meeting. ","")&amp;IF(AND(I31&lt;&gt;"",NOT(SUMPRODUCT(($A$3:$A$62=$A31)*($B$3:$B$62&lt;$C31)*($C$3:$C$62&gt;$B31)*(ROW($A$3:$A$62)&lt;&gt;ROW())*((($G$3:$G$62=I31)+($H$3:$H$62=I31)+($I$3:$I$62=I31)+($J$3:$J$62=I31))&gt;0))&gt;0),COUNTIFS('Work Activity'!$C$3:$C$89,$A31,'Work Activity'!$G$3:$G$89,I31,'Work Activity'!$A$3:$A$89,"&lt;&gt;"&amp;$D31)&gt;0),"YELLOW: "&amp;I31&amp;" punya deadline project lain pada tanggal yang sama. ","")&amp;IF(AND(J31&lt;&gt;"",SUMPRODUCT(($A$3:$A$62=$A31)*($B$3:$B$62&lt;$C31)*($C$3:$C$62&gt;$B31)*(ROW($A$3:$A$62)&lt;&gt;ROW())*((($G$3:$G$62=J31)+($H$3:$H$62=J31)+($I$3:$I$62=J31)+($J$3:$J$62=J31))&gt;0))&gt;0),"RED: "&amp;J31&amp;" bentrok meeting. ","")&amp;IF(AND(J31&lt;&gt;"",NOT(SUMPRODUCT(($A$3:$A$62=$A31)*($B$3:$B$62&lt;$C31)*($C$3:$C$62&gt;$B31)*(ROW($A$3:$A$62)&lt;&gt;ROW())*((($G$3:$G$62=J31)+($H$3:$H$62=J31)+($I$3:$I$62=J31)+($J$3:$J$62=J31))&gt;0))&gt;0),COUNTIFS('Work Activity'!$C$3:$C$89,$A31,'Work Activity'!$G$3:$G$89,J31,'Work Activity'!$A$3:$A$89,"&lt;&gt;"&amp;$D31)&gt;0),"YELLOW: "&amp;J31&amp;" punya deadline project lain pada tanggal yang sama. ",""))</f>
        <v/>
      </c>
      <c r="O31" t="str">
        <f t="shared" si="0"/>
        <v/>
      </c>
    </row>
    <row r="32" spans="1:30">
      <c r="A32" s="9"/>
      <c r="B32" s="12"/>
      <c r="C32" s="12"/>
      <c r="E32" t="str">
        <f>IFERROR(INDEX(Setup!$I$3:$I$17,MATCH($D32,Setup!$H$3:$H$17,0)),"")</f>
        <v/>
      </c>
      <c r="L32" t="str">
        <f>IF(OR(AND(G32&lt;&gt;"",SUMPRODUCT(($A$3:$A$62=$A32)*($B$3:$B$62&lt;$C32)*($C$3:$C$62&gt;$B32)*(ROW($A$3:$A$62)&lt;&gt;ROW())*((($G$3:$G$62=G32)+($H$3:$H$62=G32)+($I$3:$I$62=G32)+($J$3:$J$62=G32))&gt;0))&gt;0),AND(H32&lt;&gt;"",SUMPRODUCT(($A$3:$A$62=$A32)*($B$3:$B$62&lt;$C32)*($C$3:$C$62&gt;$B32)*(ROW($A$3:$A$62)&lt;&gt;ROW())*((($G$3:$G$62=H32)+($H$3:$H$62=H32)+($I$3:$I$62=H32)+($J$3:$J$62=H32))&gt;0))&gt;0),AND(I32&lt;&gt;"",SUMPRODUCT(($A$3:$A$62=$A32)*($B$3:$B$62&lt;$C32)*($C$3:$C$62&gt;$B32)*(ROW($A$3:$A$62)&lt;&gt;ROW())*((($G$3:$G$62=I32)+($H$3:$H$62=I32)+($I$3:$I$62=I32)+($J$3:$J$62=I32))&gt;0))&gt;0),AND(J32&lt;&gt;"",SUMPRODUCT(($A$3:$A$62=$A32)*($B$3:$B$62&lt;$C32)*($C$3:$C$62&gt;$B32)*(ROW($A$3:$A$62)&lt;&gt;ROW())*((($G$3:$G$62=J32)+($H$3:$H$62=J32)+($I$3:$I$62=J32)+($J$3:$J$62=J32))&gt;0))&gt;0)),"RED - MEETING CLASH",IF(OR(AND(G32&lt;&gt;"",COUNTIFS('Work Activity'!$C$3:$C$89,$A32,'Work Activity'!$G$3:$G$89,G32,'Work Activity'!$A$3:$A$89,"&lt;&gt;"&amp;$D32)&gt;0),AND(H32&lt;&gt;"",COUNTIFS('Work Activity'!$C$3:$C$89,$A32,'Work Activity'!$G$3:$G$89,H32,'Work Activity'!$A$3:$A$89,"&lt;&gt;"&amp;$D32)&gt;0),AND(I32&lt;&gt;"",COUNTIFS('Work Activity'!$C$3:$C$89,$A32,'Work Activity'!$G$3:$G$89,I32,'Work Activity'!$A$3:$A$89,"&lt;&gt;"&amp;$D32)&gt;0),AND(J32&lt;&gt;"",COUNTIFS('Work Activity'!$C$3:$C$89,$A32,'Work Activity'!$G$3:$G$89,J32,'Work Activity'!$A$3:$A$89,"&lt;&gt;"&amp;$D32)&gt;0)),"YELLOW - DEADLINE CHECK","CLEAR"))</f>
        <v>CLEAR</v>
      </c>
      <c r="M32" t="str">
        <f>TRIM(IF(AND(G32&lt;&gt;"",SUMPRODUCT(($A$3:$A$62=$A32)*($B$3:$B$62&lt;$C32)*($C$3:$C$62&gt;$B32)*(ROW($A$3:$A$62)&lt;&gt;ROW())*((($G$3:$G$62=G32)+($H$3:$H$62=G32)+($I$3:$I$62=G32)+($J$3:$J$62=G32))&gt;0))&gt;0),"RED: "&amp;G32&amp;" bentrok meeting. ","")&amp;IF(AND(G32&lt;&gt;"",NOT(SUMPRODUCT(($A$3:$A$62=$A32)*($B$3:$B$62&lt;$C32)*($C$3:$C$62&gt;$B32)*(ROW($A$3:$A$62)&lt;&gt;ROW())*((($G$3:$G$62=G32)+($H$3:$H$62=G32)+($I$3:$I$62=G32)+($J$3:$J$62=G32))&gt;0))&gt;0),COUNTIFS('Work Activity'!$C$3:$C$89,$A32,'Work Activity'!$G$3:$G$89,G32,'Work Activity'!$A$3:$A$89,"&lt;&gt;"&amp;$D32)&gt;0),"YELLOW: "&amp;G32&amp;" punya deadline project lain pada tanggal yang sama. ","")&amp;IF(AND(H32&lt;&gt;"",SUMPRODUCT(($A$3:$A$62=$A32)*($B$3:$B$62&lt;$C32)*($C$3:$C$62&gt;$B32)*(ROW($A$3:$A$62)&lt;&gt;ROW())*((($G$3:$G$62=H32)+($H$3:$H$62=H32)+($I$3:$I$62=H32)+($J$3:$J$62=H32))&gt;0))&gt;0),"RED: "&amp;H32&amp;" bentrok meeting. ","")&amp;IF(AND(H32&lt;&gt;"",NOT(SUMPRODUCT(($A$3:$A$62=$A32)*($B$3:$B$62&lt;$C32)*($C$3:$C$62&gt;$B32)*(ROW($A$3:$A$62)&lt;&gt;ROW())*((($G$3:$G$62=H32)+($H$3:$H$62=H32)+($I$3:$I$62=H32)+($J$3:$J$62=H32))&gt;0))&gt;0),COUNTIFS('Work Activity'!$C$3:$C$89,$A32,'Work Activity'!$G$3:$G$89,H32,'Work Activity'!$A$3:$A$89,"&lt;&gt;"&amp;$D32)&gt;0),"YELLOW: "&amp;H32&amp;" punya deadline project lain pada tanggal yang sama. ","")&amp;IF(AND(I32&lt;&gt;"",SUMPRODUCT(($A$3:$A$62=$A32)*($B$3:$B$62&lt;$C32)*($C$3:$C$62&gt;$B32)*(ROW($A$3:$A$62)&lt;&gt;ROW())*((($G$3:$G$62=I32)+($H$3:$H$62=I32)+($I$3:$I$62=I32)+($J$3:$J$62=I32))&gt;0))&gt;0),"RED: "&amp;I32&amp;" bentrok meeting. ","")&amp;IF(AND(I32&lt;&gt;"",NOT(SUMPRODUCT(($A$3:$A$62=$A32)*($B$3:$B$62&lt;$C32)*($C$3:$C$62&gt;$B32)*(ROW($A$3:$A$62)&lt;&gt;ROW())*((($G$3:$G$62=I32)+($H$3:$H$62=I32)+($I$3:$I$62=I32)+($J$3:$J$62=I32))&gt;0))&gt;0),COUNTIFS('Work Activity'!$C$3:$C$89,$A32,'Work Activity'!$G$3:$G$89,I32,'Work Activity'!$A$3:$A$89,"&lt;&gt;"&amp;$D32)&gt;0),"YELLOW: "&amp;I32&amp;" punya deadline project lain pada tanggal yang sama. ","")&amp;IF(AND(J32&lt;&gt;"",SUMPRODUCT(($A$3:$A$62=$A32)*($B$3:$B$62&lt;$C32)*($C$3:$C$62&gt;$B32)*(ROW($A$3:$A$62)&lt;&gt;ROW())*((($G$3:$G$62=J32)+($H$3:$H$62=J32)+($I$3:$I$62=J32)+($J$3:$J$62=J32))&gt;0))&gt;0),"RED: "&amp;J32&amp;" bentrok meeting. ","")&amp;IF(AND(J32&lt;&gt;"",NOT(SUMPRODUCT(($A$3:$A$62=$A32)*($B$3:$B$62&lt;$C32)*($C$3:$C$62&gt;$B32)*(ROW($A$3:$A$62)&lt;&gt;ROW())*((($G$3:$G$62=J32)+($H$3:$H$62=J32)+($I$3:$I$62=J32)+($J$3:$J$62=J32))&gt;0))&gt;0),COUNTIFS('Work Activity'!$C$3:$C$89,$A32,'Work Activity'!$G$3:$G$89,J32,'Work Activity'!$A$3:$A$89,"&lt;&gt;"&amp;$D32)&gt;0),"YELLOW: "&amp;J32&amp;" punya deadline project lain pada tanggal yang sama. ",""))</f>
        <v/>
      </c>
      <c r="O32" t="str">
        <f t="shared" si="0"/>
        <v/>
      </c>
    </row>
    <row r="33" spans="1:15">
      <c r="A33" s="9"/>
      <c r="B33" s="12"/>
      <c r="C33" s="12"/>
      <c r="E33" t="str">
        <f>IFERROR(INDEX(Setup!$I$3:$I$17,MATCH($D33,Setup!$H$3:$H$17,0)),"")</f>
        <v/>
      </c>
      <c r="L33" t="str">
        <f>IF(OR(AND(G33&lt;&gt;"",SUMPRODUCT(($A$3:$A$62=$A33)*($B$3:$B$62&lt;$C33)*($C$3:$C$62&gt;$B33)*(ROW($A$3:$A$62)&lt;&gt;ROW())*((($G$3:$G$62=G33)+($H$3:$H$62=G33)+($I$3:$I$62=G33)+($J$3:$J$62=G33))&gt;0))&gt;0),AND(H33&lt;&gt;"",SUMPRODUCT(($A$3:$A$62=$A33)*($B$3:$B$62&lt;$C33)*($C$3:$C$62&gt;$B33)*(ROW($A$3:$A$62)&lt;&gt;ROW())*((($G$3:$G$62=H33)+($H$3:$H$62=H33)+($I$3:$I$62=H33)+($J$3:$J$62=H33))&gt;0))&gt;0),AND(I33&lt;&gt;"",SUMPRODUCT(($A$3:$A$62=$A33)*($B$3:$B$62&lt;$C33)*($C$3:$C$62&gt;$B33)*(ROW($A$3:$A$62)&lt;&gt;ROW())*((($G$3:$G$62=I33)+($H$3:$H$62=I33)+($I$3:$I$62=I33)+($J$3:$J$62=I33))&gt;0))&gt;0),AND(J33&lt;&gt;"",SUMPRODUCT(($A$3:$A$62=$A33)*($B$3:$B$62&lt;$C33)*($C$3:$C$62&gt;$B33)*(ROW($A$3:$A$62)&lt;&gt;ROW())*((($G$3:$G$62=J33)+($H$3:$H$62=J33)+($I$3:$I$62=J33)+($J$3:$J$62=J33))&gt;0))&gt;0)),"RED - MEETING CLASH",IF(OR(AND(G33&lt;&gt;"",COUNTIFS('Work Activity'!$C$3:$C$89,$A33,'Work Activity'!$G$3:$G$89,G33,'Work Activity'!$A$3:$A$89,"&lt;&gt;"&amp;$D33)&gt;0),AND(H33&lt;&gt;"",COUNTIFS('Work Activity'!$C$3:$C$89,$A33,'Work Activity'!$G$3:$G$89,H33,'Work Activity'!$A$3:$A$89,"&lt;&gt;"&amp;$D33)&gt;0),AND(I33&lt;&gt;"",COUNTIFS('Work Activity'!$C$3:$C$89,$A33,'Work Activity'!$G$3:$G$89,I33,'Work Activity'!$A$3:$A$89,"&lt;&gt;"&amp;$D33)&gt;0),AND(J33&lt;&gt;"",COUNTIFS('Work Activity'!$C$3:$C$89,$A33,'Work Activity'!$G$3:$G$89,J33,'Work Activity'!$A$3:$A$89,"&lt;&gt;"&amp;$D33)&gt;0)),"YELLOW - DEADLINE CHECK","CLEAR"))</f>
        <v>CLEAR</v>
      </c>
      <c r="M33" t="str">
        <f>TRIM(IF(AND(G33&lt;&gt;"",SUMPRODUCT(($A$3:$A$62=$A33)*($B$3:$B$62&lt;$C33)*($C$3:$C$62&gt;$B33)*(ROW($A$3:$A$62)&lt;&gt;ROW())*((($G$3:$G$62=G33)+($H$3:$H$62=G33)+($I$3:$I$62=G33)+($J$3:$J$62=G33))&gt;0))&gt;0),"RED: "&amp;G33&amp;" bentrok meeting. ","")&amp;IF(AND(G33&lt;&gt;"",NOT(SUMPRODUCT(($A$3:$A$62=$A33)*($B$3:$B$62&lt;$C33)*($C$3:$C$62&gt;$B33)*(ROW($A$3:$A$62)&lt;&gt;ROW())*((($G$3:$G$62=G33)+($H$3:$H$62=G33)+($I$3:$I$62=G33)+($J$3:$J$62=G33))&gt;0))&gt;0),COUNTIFS('Work Activity'!$C$3:$C$89,$A33,'Work Activity'!$G$3:$G$89,G33,'Work Activity'!$A$3:$A$89,"&lt;&gt;"&amp;$D33)&gt;0),"YELLOW: "&amp;G33&amp;" punya deadline project lain pada tanggal yang sama. ","")&amp;IF(AND(H33&lt;&gt;"",SUMPRODUCT(($A$3:$A$62=$A33)*($B$3:$B$62&lt;$C33)*($C$3:$C$62&gt;$B33)*(ROW($A$3:$A$62)&lt;&gt;ROW())*((($G$3:$G$62=H33)+($H$3:$H$62=H33)+($I$3:$I$62=H33)+($J$3:$J$62=H33))&gt;0))&gt;0),"RED: "&amp;H33&amp;" bentrok meeting. ","")&amp;IF(AND(H33&lt;&gt;"",NOT(SUMPRODUCT(($A$3:$A$62=$A33)*($B$3:$B$62&lt;$C33)*($C$3:$C$62&gt;$B33)*(ROW($A$3:$A$62)&lt;&gt;ROW())*((($G$3:$G$62=H33)+($H$3:$H$62=H33)+($I$3:$I$62=H33)+($J$3:$J$62=H33))&gt;0))&gt;0),COUNTIFS('Work Activity'!$C$3:$C$89,$A33,'Work Activity'!$G$3:$G$89,H33,'Work Activity'!$A$3:$A$89,"&lt;&gt;"&amp;$D33)&gt;0),"YELLOW: "&amp;H33&amp;" punya deadline project lain pada tanggal yang sama. ","")&amp;IF(AND(I33&lt;&gt;"",SUMPRODUCT(($A$3:$A$62=$A33)*($B$3:$B$62&lt;$C33)*($C$3:$C$62&gt;$B33)*(ROW($A$3:$A$62)&lt;&gt;ROW())*((($G$3:$G$62=I33)+($H$3:$H$62=I33)+($I$3:$I$62=I33)+($J$3:$J$62=I33))&gt;0))&gt;0),"RED: "&amp;I33&amp;" bentrok meeting. ","")&amp;IF(AND(I33&lt;&gt;"",NOT(SUMPRODUCT(($A$3:$A$62=$A33)*($B$3:$B$62&lt;$C33)*($C$3:$C$62&gt;$B33)*(ROW($A$3:$A$62)&lt;&gt;ROW())*((($G$3:$G$62=I33)+($H$3:$H$62=I33)+($I$3:$I$62=I33)+($J$3:$J$62=I33))&gt;0))&gt;0),COUNTIFS('Work Activity'!$C$3:$C$89,$A33,'Work Activity'!$G$3:$G$89,I33,'Work Activity'!$A$3:$A$89,"&lt;&gt;"&amp;$D33)&gt;0),"YELLOW: "&amp;I33&amp;" punya deadline project lain pada tanggal yang sama. ","")&amp;IF(AND(J33&lt;&gt;"",SUMPRODUCT(($A$3:$A$62=$A33)*($B$3:$B$62&lt;$C33)*($C$3:$C$62&gt;$B33)*(ROW($A$3:$A$62)&lt;&gt;ROW())*((($G$3:$G$62=J33)+($H$3:$H$62=J33)+($I$3:$I$62=J33)+($J$3:$J$62=J33))&gt;0))&gt;0),"RED: "&amp;J33&amp;" bentrok meeting. ","")&amp;IF(AND(J33&lt;&gt;"",NOT(SUMPRODUCT(($A$3:$A$62=$A33)*($B$3:$B$62&lt;$C33)*($C$3:$C$62&gt;$B33)*(ROW($A$3:$A$62)&lt;&gt;ROW())*((($G$3:$G$62=J33)+($H$3:$H$62=J33)+($I$3:$I$62=J33)+($J$3:$J$62=J33))&gt;0))&gt;0),COUNTIFS('Work Activity'!$C$3:$C$89,$A33,'Work Activity'!$G$3:$G$89,J33,'Work Activity'!$A$3:$A$89,"&lt;&gt;"&amp;$D33)&gt;0),"YELLOW: "&amp;J33&amp;" punya deadline project lain pada tanggal yang sama. ",""))</f>
        <v/>
      </c>
      <c r="O33" t="str">
        <f t="shared" si="0"/>
        <v/>
      </c>
    </row>
    <row r="34" spans="1:15">
      <c r="A34" s="9"/>
      <c r="B34" s="12"/>
      <c r="C34" s="12"/>
      <c r="E34" t="str">
        <f>IFERROR(INDEX(Setup!$I$3:$I$17,MATCH($D34,Setup!$H$3:$H$17,0)),"")</f>
        <v/>
      </c>
      <c r="L34" t="str">
        <f>IF(OR(AND(G34&lt;&gt;"",SUMPRODUCT(($A$3:$A$62=$A34)*($B$3:$B$62&lt;$C34)*($C$3:$C$62&gt;$B34)*(ROW($A$3:$A$62)&lt;&gt;ROW())*((($G$3:$G$62=G34)+($H$3:$H$62=G34)+($I$3:$I$62=G34)+($J$3:$J$62=G34))&gt;0))&gt;0),AND(H34&lt;&gt;"",SUMPRODUCT(($A$3:$A$62=$A34)*($B$3:$B$62&lt;$C34)*($C$3:$C$62&gt;$B34)*(ROW($A$3:$A$62)&lt;&gt;ROW())*((($G$3:$G$62=H34)+($H$3:$H$62=H34)+($I$3:$I$62=H34)+($J$3:$J$62=H34))&gt;0))&gt;0),AND(I34&lt;&gt;"",SUMPRODUCT(($A$3:$A$62=$A34)*($B$3:$B$62&lt;$C34)*($C$3:$C$62&gt;$B34)*(ROW($A$3:$A$62)&lt;&gt;ROW())*((($G$3:$G$62=I34)+($H$3:$H$62=I34)+($I$3:$I$62=I34)+($J$3:$J$62=I34))&gt;0))&gt;0),AND(J34&lt;&gt;"",SUMPRODUCT(($A$3:$A$62=$A34)*($B$3:$B$62&lt;$C34)*($C$3:$C$62&gt;$B34)*(ROW($A$3:$A$62)&lt;&gt;ROW())*((($G$3:$G$62=J34)+($H$3:$H$62=J34)+($I$3:$I$62=J34)+($J$3:$J$62=J34))&gt;0))&gt;0)),"RED - MEETING CLASH",IF(OR(AND(G34&lt;&gt;"",COUNTIFS('Work Activity'!$C$3:$C$89,$A34,'Work Activity'!$G$3:$G$89,G34,'Work Activity'!$A$3:$A$89,"&lt;&gt;"&amp;$D34)&gt;0),AND(H34&lt;&gt;"",COUNTIFS('Work Activity'!$C$3:$C$89,$A34,'Work Activity'!$G$3:$G$89,H34,'Work Activity'!$A$3:$A$89,"&lt;&gt;"&amp;$D34)&gt;0),AND(I34&lt;&gt;"",COUNTIFS('Work Activity'!$C$3:$C$89,$A34,'Work Activity'!$G$3:$G$89,I34,'Work Activity'!$A$3:$A$89,"&lt;&gt;"&amp;$D34)&gt;0),AND(J34&lt;&gt;"",COUNTIFS('Work Activity'!$C$3:$C$89,$A34,'Work Activity'!$G$3:$G$89,J34,'Work Activity'!$A$3:$A$89,"&lt;&gt;"&amp;$D34)&gt;0)),"YELLOW - DEADLINE CHECK","CLEAR"))</f>
        <v>CLEAR</v>
      </c>
      <c r="M34" t="str">
        <f>TRIM(IF(AND(G34&lt;&gt;"",SUMPRODUCT(($A$3:$A$62=$A34)*($B$3:$B$62&lt;$C34)*($C$3:$C$62&gt;$B34)*(ROW($A$3:$A$62)&lt;&gt;ROW())*((($G$3:$G$62=G34)+($H$3:$H$62=G34)+($I$3:$I$62=G34)+($J$3:$J$62=G34))&gt;0))&gt;0),"RED: "&amp;G34&amp;" bentrok meeting. ","")&amp;IF(AND(G34&lt;&gt;"",NOT(SUMPRODUCT(($A$3:$A$62=$A34)*($B$3:$B$62&lt;$C34)*($C$3:$C$62&gt;$B34)*(ROW($A$3:$A$62)&lt;&gt;ROW())*((($G$3:$G$62=G34)+($H$3:$H$62=G34)+($I$3:$I$62=G34)+($J$3:$J$62=G34))&gt;0))&gt;0),COUNTIFS('Work Activity'!$C$3:$C$89,$A34,'Work Activity'!$G$3:$G$89,G34,'Work Activity'!$A$3:$A$89,"&lt;&gt;"&amp;$D34)&gt;0),"YELLOW: "&amp;G34&amp;" punya deadline project lain pada tanggal yang sama. ","")&amp;IF(AND(H34&lt;&gt;"",SUMPRODUCT(($A$3:$A$62=$A34)*($B$3:$B$62&lt;$C34)*($C$3:$C$62&gt;$B34)*(ROW($A$3:$A$62)&lt;&gt;ROW())*((($G$3:$G$62=H34)+($H$3:$H$62=H34)+($I$3:$I$62=H34)+($J$3:$J$62=H34))&gt;0))&gt;0),"RED: "&amp;H34&amp;" bentrok meeting. ","")&amp;IF(AND(H34&lt;&gt;"",NOT(SUMPRODUCT(($A$3:$A$62=$A34)*($B$3:$B$62&lt;$C34)*($C$3:$C$62&gt;$B34)*(ROW($A$3:$A$62)&lt;&gt;ROW())*((($G$3:$G$62=H34)+($H$3:$H$62=H34)+($I$3:$I$62=H34)+($J$3:$J$62=H34))&gt;0))&gt;0),COUNTIFS('Work Activity'!$C$3:$C$89,$A34,'Work Activity'!$G$3:$G$89,H34,'Work Activity'!$A$3:$A$89,"&lt;&gt;"&amp;$D34)&gt;0),"YELLOW: "&amp;H34&amp;" punya deadline project lain pada tanggal yang sama. ","")&amp;IF(AND(I34&lt;&gt;"",SUMPRODUCT(($A$3:$A$62=$A34)*($B$3:$B$62&lt;$C34)*($C$3:$C$62&gt;$B34)*(ROW($A$3:$A$62)&lt;&gt;ROW())*((($G$3:$G$62=I34)+($H$3:$H$62=I34)+($I$3:$I$62=I34)+($J$3:$J$62=I34))&gt;0))&gt;0),"RED: "&amp;I34&amp;" bentrok meeting. ","")&amp;IF(AND(I34&lt;&gt;"",NOT(SUMPRODUCT(($A$3:$A$62=$A34)*($B$3:$B$62&lt;$C34)*($C$3:$C$62&gt;$B34)*(ROW($A$3:$A$62)&lt;&gt;ROW())*((($G$3:$G$62=I34)+($H$3:$H$62=I34)+($I$3:$I$62=I34)+($J$3:$J$62=I34))&gt;0))&gt;0),COUNTIFS('Work Activity'!$C$3:$C$89,$A34,'Work Activity'!$G$3:$G$89,I34,'Work Activity'!$A$3:$A$89,"&lt;&gt;"&amp;$D34)&gt;0),"YELLOW: "&amp;I34&amp;" punya deadline project lain pada tanggal yang sama. ","")&amp;IF(AND(J34&lt;&gt;"",SUMPRODUCT(($A$3:$A$62=$A34)*($B$3:$B$62&lt;$C34)*($C$3:$C$62&gt;$B34)*(ROW($A$3:$A$62)&lt;&gt;ROW())*((($G$3:$G$62=J34)+($H$3:$H$62=J34)+($I$3:$I$62=J34)+($J$3:$J$62=J34))&gt;0))&gt;0),"RED: "&amp;J34&amp;" bentrok meeting. ","")&amp;IF(AND(J34&lt;&gt;"",NOT(SUMPRODUCT(($A$3:$A$62=$A34)*($B$3:$B$62&lt;$C34)*($C$3:$C$62&gt;$B34)*(ROW($A$3:$A$62)&lt;&gt;ROW())*((($G$3:$G$62=J34)+($H$3:$H$62=J34)+($I$3:$I$62=J34)+($J$3:$J$62=J34))&gt;0))&gt;0),COUNTIFS('Work Activity'!$C$3:$C$89,$A34,'Work Activity'!$G$3:$G$89,J34,'Work Activity'!$A$3:$A$89,"&lt;&gt;"&amp;$D34)&gt;0),"YELLOW: "&amp;J34&amp;" punya deadline project lain pada tanggal yang sama. ",""))</f>
        <v/>
      </c>
      <c r="O34" t="str">
        <f t="shared" si="0"/>
        <v/>
      </c>
    </row>
    <row r="35" spans="1:15">
      <c r="A35" s="9"/>
      <c r="B35" s="12"/>
      <c r="C35" s="12"/>
      <c r="E35" t="str">
        <f>IFERROR(INDEX(Setup!$I$3:$I$17,MATCH($D35,Setup!$H$3:$H$17,0)),"")</f>
        <v/>
      </c>
      <c r="L35" t="str">
        <f>IF(OR(AND(G35&lt;&gt;"",SUMPRODUCT(($A$3:$A$62=$A35)*($B$3:$B$62&lt;$C35)*($C$3:$C$62&gt;$B35)*(ROW($A$3:$A$62)&lt;&gt;ROW())*((($G$3:$G$62=G35)+($H$3:$H$62=G35)+($I$3:$I$62=G35)+($J$3:$J$62=G35))&gt;0))&gt;0),AND(H35&lt;&gt;"",SUMPRODUCT(($A$3:$A$62=$A35)*($B$3:$B$62&lt;$C35)*($C$3:$C$62&gt;$B35)*(ROW($A$3:$A$62)&lt;&gt;ROW())*((($G$3:$G$62=H35)+($H$3:$H$62=H35)+($I$3:$I$62=H35)+($J$3:$J$62=H35))&gt;0))&gt;0),AND(I35&lt;&gt;"",SUMPRODUCT(($A$3:$A$62=$A35)*($B$3:$B$62&lt;$C35)*($C$3:$C$62&gt;$B35)*(ROW($A$3:$A$62)&lt;&gt;ROW())*((($G$3:$G$62=I35)+($H$3:$H$62=I35)+($I$3:$I$62=I35)+($J$3:$J$62=I35))&gt;0))&gt;0),AND(J35&lt;&gt;"",SUMPRODUCT(($A$3:$A$62=$A35)*($B$3:$B$62&lt;$C35)*($C$3:$C$62&gt;$B35)*(ROW($A$3:$A$62)&lt;&gt;ROW())*((($G$3:$G$62=J35)+($H$3:$H$62=J35)+($I$3:$I$62=J35)+($J$3:$J$62=J35))&gt;0))&gt;0)),"RED - MEETING CLASH",IF(OR(AND(G35&lt;&gt;"",COUNTIFS('Work Activity'!$C$3:$C$89,$A35,'Work Activity'!$G$3:$G$89,G35,'Work Activity'!$A$3:$A$89,"&lt;&gt;"&amp;$D35)&gt;0),AND(H35&lt;&gt;"",COUNTIFS('Work Activity'!$C$3:$C$89,$A35,'Work Activity'!$G$3:$G$89,H35,'Work Activity'!$A$3:$A$89,"&lt;&gt;"&amp;$D35)&gt;0),AND(I35&lt;&gt;"",COUNTIFS('Work Activity'!$C$3:$C$89,$A35,'Work Activity'!$G$3:$G$89,I35,'Work Activity'!$A$3:$A$89,"&lt;&gt;"&amp;$D35)&gt;0),AND(J35&lt;&gt;"",COUNTIFS('Work Activity'!$C$3:$C$89,$A35,'Work Activity'!$G$3:$G$89,J35,'Work Activity'!$A$3:$A$89,"&lt;&gt;"&amp;$D35)&gt;0)),"YELLOW - DEADLINE CHECK","CLEAR"))</f>
        <v>CLEAR</v>
      </c>
      <c r="M35" t="str">
        <f>TRIM(IF(AND(G35&lt;&gt;"",SUMPRODUCT(($A$3:$A$62=$A35)*($B$3:$B$62&lt;$C35)*($C$3:$C$62&gt;$B35)*(ROW($A$3:$A$62)&lt;&gt;ROW())*((($G$3:$G$62=G35)+($H$3:$H$62=G35)+($I$3:$I$62=G35)+($J$3:$J$62=G35))&gt;0))&gt;0),"RED: "&amp;G35&amp;" bentrok meeting. ","")&amp;IF(AND(G35&lt;&gt;"",NOT(SUMPRODUCT(($A$3:$A$62=$A35)*($B$3:$B$62&lt;$C35)*($C$3:$C$62&gt;$B35)*(ROW($A$3:$A$62)&lt;&gt;ROW())*((($G$3:$G$62=G35)+($H$3:$H$62=G35)+($I$3:$I$62=G35)+($J$3:$J$62=G35))&gt;0))&gt;0),COUNTIFS('Work Activity'!$C$3:$C$89,$A35,'Work Activity'!$G$3:$G$89,G35,'Work Activity'!$A$3:$A$89,"&lt;&gt;"&amp;$D35)&gt;0),"YELLOW: "&amp;G35&amp;" punya deadline project lain pada tanggal yang sama. ","")&amp;IF(AND(H35&lt;&gt;"",SUMPRODUCT(($A$3:$A$62=$A35)*($B$3:$B$62&lt;$C35)*($C$3:$C$62&gt;$B35)*(ROW($A$3:$A$62)&lt;&gt;ROW())*((($G$3:$G$62=H35)+($H$3:$H$62=H35)+($I$3:$I$62=H35)+($J$3:$J$62=H35))&gt;0))&gt;0),"RED: "&amp;H35&amp;" bentrok meeting. ","")&amp;IF(AND(H35&lt;&gt;"",NOT(SUMPRODUCT(($A$3:$A$62=$A35)*($B$3:$B$62&lt;$C35)*($C$3:$C$62&gt;$B35)*(ROW($A$3:$A$62)&lt;&gt;ROW())*((($G$3:$G$62=H35)+($H$3:$H$62=H35)+($I$3:$I$62=H35)+($J$3:$J$62=H35))&gt;0))&gt;0),COUNTIFS('Work Activity'!$C$3:$C$89,$A35,'Work Activity'!$G$3:$G$89,H35,'Work Activity'!$A$3:$A$89,"&lt;&gt;"&amp;$D35)&gt;0),"YELLOW: "&amp;H35&amp;" punya deadline project lain pada tanggal yang sama. ","")&amp;IF(AND(I35&lt;&gt;"",SUMPRODUCT(($A$3:$A$62=$A35)*($B$3:$B$62&lt;$C35)*($C$3:$C$62&gt;$B35)*(ROW($A$3:$A$62)&lt;&gt;ROW())*((($G$3:$G$62=I35)+($H$3:$H$62=I35)+($I$3:$I$62=I35)+($J$3:$J$62=I35))&gt;0))&gt;0),"RED: "&amp;I35&amp;" bentrok meeting. ","")&amp;IF(AND(I35&lt;&gt;"",NOT(SUMPRODUCT(($A$3:$A$62=$A35)*($B$3:$B$62&lt;$C35)*($C$3:$C$62&gt;$B35)*(ROW($A$3:$A$62)&lt;&gt;ROW())*((($G$3:$G$62=I35)+($H$3:$H$62=I35)+($I$3:$I$62=I35)+($J$3:$J$62=I35))&gt;0))&gt;0),COUNTIFS('Work Activity'!$C$3:$C$89,$A35,'Work Activity'!$G$3:$G$89,I35,'Work Activity'!$A$3:$A$89,"&lt;&gt;"&amp;$D35)&gt;0),"YELLOW: "&amp;I35&amp;" punya deadline project lain pada tanggal yang sama. ","")&amp;IF(AND(J35&lt;&gt;"",SUMPRODUCT(($A$3:$A$62=$A35)*($B$3:$B$62&lt;$C35)*($C$3:$C$62&gt;$B35)*(ROW($A$3:$A$62)&lt;&gt;ROW())*((($G$3:$G$62=J35)+($H$3:$H$62=J35)+($I$3:$I$62=J35)+($J$3:$J$62=J35))&gt;0))&gt;0),"RED: "&amp;J35&amp;" bentrok meeting. ","")&amp;IF(AND(J35&lt;&gt;"",NOT(SUMPRODUCT(($A$3:$A$62=$A35)*($B$3:$B$62&lt;$C35)*($C$3:$C$62&gt;$B35)*(ROW($A$3:$A$62)&lt;&gt;ROW())*((($G$3:$G$62=J35)+($H$3:$H$62=J35)+($I$3:$I$62=J35)+($J$3:$J$62=J35))&gt;0))&gt;0),COUNTIFS('Work Activity'!$C$3:$C$89,$A35,'Work Activity'!$G$3:$G$89,J35,'Work Activity'!$A$3:$A$89,"&lt;&gt;"&amp;$D35)&gt;0),"YELLOW: "&amp;J35&amp;" punya deadline project lain pada tanggal yang sama. ",""))</f>
        <v/>
      </c>
      <c r="O35" t="str">
        <f t="shared" ref="O35:O62" si="1">IF(OR($D35="",$A35=""),"",$D35&amp;TEXT($A35,"yyyymmdd"))</f>
        <v/>
      </c>
    </row>
    <row r="36" spans="1:15">
      <c r="A36" s="9"/>
      <c r="B36" s="12"/>
      <c r="C36" s="12"/>
      <c r="E36" t="str">
        <f>IFERROR(INDEX(Setup!$I$3:$I$17,MATCH($D36,Setup!$H$3:$H$17,0)),"")</f>
        <v/>
      </c>
      <c r="L36" t="str">
        <f>IF(OR(AND(G36&lt;&gt;"",SUMPRODUCT(($A$3:$A$62=$A36)*($B$3:$B$62&lt;$C36)*($C$3:$C$62&gt;$B36)*(ROW($A$3:$A$62)&lt;&gt;ROW())*((($G$3:$G$62=G36)+($H$3:$H$62=G36)+($I$3:$I$62=G36)+($J$3:$J$62=G36))&gt;0))&gt;0),AND(H36&lt;&gt;"",SUMPRODUCT(($A$3:$A$62=$A36)*($B$3:$B$62&lt;$C36)*($C$3:$C$62&gt;$B36)*(ROW($A$3:$A$62)&lt;&gt;ROW())*((($G$3:$G$62=H36)+($H$3:$H$62=H36)+($I$3:$I$62=H36)+($J$3:$J$62=H36))&gt;0))&gt;0),AND(I36&lt;&gt;"",SUMPRODUCT(($A$3:$A$62=$A36)*($B$3:$B$62&lt;$C36)*($C$3:$C$62&gt;$B36)*(ROW($A$3:$A$62)&lt;&gt;ROW())*((($G$3:$G$62=I36)+($H$3:$H$62=I36)+($I$3:$I$62=I36)+($J$3:$J$62=I36))&gt;0))&gt;0),AND(J36&lt;&gt;"",SUMPRODUCT(($A$3:$A$62=$A36)*($B$3:$B$62&lt;$C36)*($C$3:$C$62&gt;$B36)*(ROW($A$3:$A$62)&lt;&gt;ROW())*((($G$3:$G$62=J36)+($H$3:$H$62=J36)+($I$3:$I$62=J36)+($J$3:$J$62=J36))&gt;0))&gt;0)),"RED - MEETING CLASH",IF(OR(AND(G36&lt;&gt;"",COUNTIFS('Work Activity'!$C$3:$C$89,$A36,'Work Activity'!$G$3:$G$89,G36,'Work Activity'!$A$3:$A$89,"&lt;&gt;"&amp;$D36)&gt;0),AND(H36&lt;&gt;"",COUNTIFS('Work Activity'!$C$3:$C$89,$A36,'Work Activity'!$G$3:$G$89,H36,'Work Activity'!$A$3:$A$89,"&lt;&gt;"&amp;$D36)&gt;0),AND(I36&lt;&gt;"",COUNTIFS('Work Activity'!$C$3:$C$89,$A36,'Work Activity'!$G$3:$G$89,I36,'Work Activity'!$A$3:$A$89,"&lt;&gt;"&amp;$D36)&gt;0),AND(J36&lt;&gt;"",COUNTIFS('Work Activity'!$C$3:$C$89,$A36,'Work Activity'!$G$3:$G$89,J36,'Work Activity'!$A$3:$A$89,"&lt;&gt;"&amp;$D36)&gt;0)),"YELLOW - DEADLINE CHECK","CLEAR"))</f>
        <v>CLEAR</v>
      </c>
      <c r="M36" t="str">
        <f>TRIM(IF(AND(G36&lt;&gt;"",SUMPRODUCT(($A$3:$A$62=$A36)*($B$3:$B$62&lt;$C36)*($C$3:$C$62&gt;$B36)*(ROW($A$3:$A$62)&lt;&gt;ROW())*((($G$3:$G$62=G36)+($H$3:$H$62=G36)+($I$3:$I$62=G36)+($J$3:$J$62=G36))&gt;0))&gt;0),"RED: "&amp;G36&amp;" bentrok meeting. ","")&amp;IF(AND(G36&lt;&gt;"",NOT(SUMPRODUCT(($A$3:$A$62=$A36)*($B$3:$B$62&lt;$C36)*($C$3:$C$62&gt;$B36)*(ROW($A$3:$A$62)&lt;&gt;ROW())*((($G$3:$G$62=G36)+($H$3:$H$62=G36)+($I$3:$I$62=G36)+($J$3:$J$62=G36))&gt;0))&gt;0),COUNTIFS('Work Activity'!$C$3:$C$89,$A36,'Work Activity'!$G$3:$G$89,G36,'Work Activity'!$A$3:$A$89,"&lt;&gt;"&amp;$D36)&gt;0),"YELLOW: "&amp;G36&amp;" punya deadline project lain pada tanggal yang sama. ","")&amp;IF(AND(H36&lt;&gt;"",SUMPRODUCT(($A$3:$A$62=$A36)*($B$3:$B$62&lt;$C36)*($C$3:$C$62&gt;$B36)*(ROW($A$3:$A$62)&lt;&gt;ROW())*((($G$3:$G$62=H36)+($H$3:$H$62=H36)+($I$3:$I$62=H36)+($J$3:$J$62=H36))&gt;0))&gt;0),"RED: "&amp;H36&amp;" bentrok meeting. ","")&amp;IF(AND(H36&lt;&gt;"",NOT(SUMPRODUCT(($A$3:$A$62=$A36)*($B$3:$B$62&lt;$C36)*($C$3:$C$62&gt;$B36)*(ROW($A$3:$A$62)&lt;&gt;ROW())*((($G$3:$G$62=H36)+($H$3:$H$62=H36)+($I$3:$I$62=H36)+($J$3:$J$62=H36))&gt;0))&gt;0),COUNTIFS('Work Activity'!$C$3:$C$89,$A36,'Work Activity'!$G$3:$G$89,H36,'Work Activity'!$A$3:$A$89,"&lt;&gt;"&amp;$D36)&gt;0),"YELLOW: "&amp;H36&amp;" punya deadline project lain pada tanggal yang sama. ","")&amp;IF(AND(I36&lt;&gt;"",SUMPRODUCT(($A$3:$A$62=$A36)*($B$3:$B$62&lt;$C36)*($C$3:$C$62&gt;$B36)*(ROW($A$3:$A$62)&lt;&gt;ROW())*((($G$3:$G$62=I36)+($H$3:$H$62=I36)+($I$3:$I$62=I36)+($J$3:$J$62=I36))&gt;0))&gt;0),"RED: "&amp;I36&amp;" bentrok meeting. ","")&amp;IF(AND(I36&lt;&gt;"",NOT(SUMPRODUCT(($A$3:$A$62=$A36)*($B$3:$B$62&lt;$C36)*($C$3:$C$62&gt;$B36)*(ROW($A$3:$A$62)&lt;&gt;ROW())*((($G$3:$G$62=I36)+($H$3:$H$62=I36)+($I$3:$I$62=I36)+($J$3:$J$62=I36))&gt;0))&gt;0),COUNTIFS('Work Activity'!$C$3:$C$89,$A36,'Work Activity'!$G$3:$G$89,I36,'Work Activity'!$A$3:$A$89,"&lt;&gt;"&amp;$D36)&gt;0),"YELLOW: "&amp;I36&amp;" punya deadline project lain pada tanggal yang sama. ","")&amp;IF(AND(J36&lt;&gt;"",SUMPRODUCT(($A$3:$A$62=$A36)*($B$3:$B$62&lt;$C36)*($C$3:$C$62&gt;$B36)*(ROW($A$3:$A$62)&lt;&gt;ROW())*((($G$3:$G$62=J36)+($H$3:$H$62=J36)+($I$3:$I$62=J36)+($J$3:$J$62=J36))&gt;0))&gt;0),"RED: "&amp;J36&amp;" bentrok meeting. ","")&amp;IF(AND(J36&lt;&gt;"",NOT(SUMPRODUCT(($A$3:$A$62=$A36)*($B$3:$B$62&lt;$C36)*($C$3:$C$62&gt;$B36)*(ROW($A$3:$A$62)&lt;&gt;ROW())*((($G$3:$G$62=J36)+($H$3:$H$62=J36)+($I$3:$I$62=J36)+($J$3:$J$62=J36))&gt;0))&gt;0),COUNTIFS('Work Activity'!$C$3:$C$89,$A36,'Work Activity'!$G$3:$G$89,J36,'Work Activity'!$A$3:$A$89,"&lt;&gt;"&amp;$D36)&gt;0),"YELLOW: "&amp;J36&amp;" punya deadline project lain pada tanggal yang sama. ",""))</f>
        <v/>
      </c>
      <c r="O36" t="str">
        <f t="shared" si="1"/>
        <v/>
      </c>
    </row>
    <row r="37" spans="1:15">
      <c r="A37" s="9"/>
      <c r="B37" s="12"/>
      <c r="C37" s="12"/>
      <c r="E37" t="str">
        <f>IFERROR(INDEX(Setup!$I$3:$I$17,MATCH($D37,Setup!$H$3:$H$17,0)),"")</f>
        <v/>
      </c>
      <c r="L37" t="str">
        <f>IF(OR(AND(G37&lt;&gt;"",SUMPRODUCT(($A$3:$A$62=$A37)*($B$3:$B$62&lt;$C37)*($C$3:$C$62&gt;$B37)*(ROW($A$3:$A$62)&lt;&gt;ROW())*((($G$3:$G$62=G37)+($H$3:$H$62=G37)+($I$3:$I$62=G37)+($J$3:$J$62=G37))&gt;0))&gt;0),AND(H37&lt;&gt;"",SUMPRODUCT(($A$3:$A$62=$A37)*($B$3:$B$62&lt;$C37)*($C$3:$C$62&gt;$B37)*(ROW($A$3:$A$62)&lt;&gt;ROW())*((($G$3:$G$62=H37)+($H$3:$H$62=H37)+($I$3:$I$62=H37)+($J$3:$J$62=H37))&gt;0))&gt;0),AND(I37&lt;&gt;"",SUMPRODUCT(($A$3:$A$62=$A37)*($B$3:$B$62&lt;$C37)*($C$3:$C$62&gt;$B37)*(ROW($A$3:$A$62)&lt;&gt;ROW())*((($G$3:$G$62=I37)+($H$3:$H$62=I37)+($I$3:$I$62=I37)+($J$3:$J$62=I37))&gt;0))&gt;0),AND(J37&lt;&gt;"",SUMPRODUCT(($A$3:$A$62=$A37)*($B$3:$B$62&lt;$C37)*($C$3:$C$62&gt;$B37)*(ROW($A$3:$A$62)&lt;&gt;ROW())*((($G$3:$G$62=J37)+($H$3:$H$62=J37)+($I$3:$I$62=J37)+($J$3:$J$62=J37))&gt;0))&gt;0)),"RED - MEETING CLASH",IF(OR(AND(G37&lt;&gt;"",COUNTIFS('Work Activity'!$C$3:$C$89,$A37,'Work Activity'!$G$3:$G$89,G37,'Work Activity'!$A$3:$A$89,"&lt;&gt;"&amp;$D37)&gt;0),AND(H37&lt;&gt;"",COUNTIFS('Work Activity'!$C$3:$C$89,$A37,'Work Activity'!$G$3:$G$89,H37,'Work Activity'!$A$3:$A$89,"&lt;&gt;"&amp;$D37)&gt;0),AND(I37&lt;&gt;"",COUNTIFS('Work Activity'!$C$3:$C$89,$A37,'Work Activity'!$G$3:$G$89,I37,'Work Activity'!$A$3:$A$89,"&lt;&gt;"&amp;$D37)&gt;0),AND(J37&lt;&gt;"",COUNTIFS('Work Activity'!$C$3:$C$89,$A37,'Work Activity'!$G$3:$G$89,J37,'Work Activity'!$A$3:$A$89,"&lt;&gt;"&amp;$D37)&gt;0)),"YELLOW - DEADLINE CHECK","CLEAR"))</f>
        <v>CLEAR</v>
      </c>
      <c r="M37" t="str">
        <f>TRIM(IF(AND(G37&lt;&gt;"",SUMPRODUCT(($A$3:$A$62=$A37)*($B$3:$B$62&lt;$C37)*($C$3:$C$62&gt;$B37)*(ROW($A$3:$A$62)&lt;&gt;ROW())*((($G$3:$G$62=G37)+($H$3:$H$62=G37)+($I$3:$I$62=G37)+($J$3:$J$62=G37))&gt;0))&gt;0),"RED: "&amp;G37&amp;" bentrok meeting. ","")&amp;IF(AND(G37&lt;&gt;"",NOT(SUMPRODUCT(($A$3:$A$62=$A37)*($B$3:$B$62&lt;$C37)*($C$3:$C$62&gt;$B37)*(ROW($A$3:$A$62)&lt;&gt;ROW())*((($G$3:$G$62=G37)+($H$3:$H$62=G37)+($I$3:$I$62=G37)+($J$3:$J$62=G37))&gt;0))&gt;0),COUNTIFS('Work Activity'!$C$3:$C$89,$A37,'Work Activity'!$G$3:$G$89,G37,'Work Activity'!$A$3:$A$89,"&lt;&gt;"&amp;$D37)&gt;0),"YELLOW: "&amp;G37&amp;" punya deadline project lain pada tanggal yang sama. ","")&amp;IF(AND(H37&lt;&gt;"",SUMPRODUCT(($A$3:$A$62=$A37)*($B$3:$B$62&lt;$C37)*($C$3:$C$62&gt;$B37)*(ROW($A$3:$A$62)&lt;&gt;ROW())*((($G$3:$G$62=H37)+($H$3:$H$62=H37)+($I$3:$I$62=H37)+($J$3:$J$62=H37))&gt;0))&gt;0),"RED: "&amp;H37&amp;" bentrok meeting. ","")&amp;IF(AND(H37&lt;&gt;"",NOT(SUMPRODUCT(($A$3:$A$62=$A37)*($B$3:$B$62&lt;$C37)*($C$3:$C$62&gt;$B37)*(ROW($A$3:$A$62)&lt;&gt;ROW())*((($G$3:$G$62=H37)+($H$3:$H$62=H37)+($I$3:$I$62=H37)+($J$3:$J$62=H37))&gt;0))&gt;0),COUNTIFS('Work Activity'!$C$3:$C$89,$A37,'Work Activity'!$G$3:$G$89,H37,'Work Activity'!$A$3:$A$89,"&lt;&gt;"&amp;$D37)&gt;0),"YELLOW: "&amp;H37&amp;" punya deadline project lain pada tanggal yang sama. ","")&amp;IF(AND(I37&lt;&gt;"",SUMPRODUCT(($A$3:$A$62=$A37)*($B$3:$B$62&lt;$C37)*($C$3:$C$62&gt;$B37)*(ROW($A$3:$A$62)&lt;&gt;ROW())*((($G$3:$G$62=I37)+($H$3:$H$62=I37)+($I$3:$I$62=I37)+($J$3:$J$62=I37))&gt;0))&gt;0),"RED: "&amp;I37&amp;" bentrok meeting. ","")&amp;IF(AND(I37&lt;&gt;"",NOT(SUMPRODUCT(($A$3:$A$62=$A37)*($B$3:$B$62&lt;$C37)*($C$3:$C$62&gt;$B37)*(ROW($A$3:$A$62)&lt;&gt;ROW())*((($G$3:$G$62=I37)+($H$3:$H$62=I37)+($I$3:$I$62=I37)+($J$3:$J$62=I37))&gt;0))&gt;0),COUNTIFS('Work Activity'!$C$3:$C$89,$A37,'Work Activity'!$G$3:$G$89,I37,'Work Activity'!$A$3:$A$89,"&lt;&gt;"&amp;$D37)&gt;0),"YELLOW: "&amp;I37&amp;" punya deadline project lain pada tanggal yang sama. ","")&amp;IF(AND(J37&lt;&gt;"",SUMPRODUCT(($A$3:$A$62=$A37)*($B$3:$B$62&lt;$C37)*($C$3:$C$62&gt;$B37)*(ROW($A$3:$A$62)&lt;&gt;ROW())*((($G$3:$G$62=J37)+($H$3:$H$62=J37)+($I$3:$I$62=J37)+($J$3:$J$62=J37))&gt;0))&gt;0),"RED: "&amp;J37&amp;" bentrok meeting. ","")&amp;IF(AND(J37&lt;&gt;"",NOT(SUMPRODUCT(($A$3:$A$62=$A37)*($B$3:$B$62&lt;$C37)*($C$3:$C$62&gt;$B37)*(ROW($A$3:$A$62)&lt;&gt;ROW())*((($G$3:$G$62=J37)+($H$3:$H$62=J37)+($I$3:$I$62=J37)+($J$3:$J$62=J37))&gt;0))&gt;0),COUNTIFS('Work Activity'!$C$3:$C$89,$A37,'Work Activity'!$G$3:$G$89,J37,'Work Activity'!$A$3:$A$89,"&lt;&gt;"&amp;$D37)&gt;0),"YELLOW: "&amp;J37&amp;" punya deadline project lain pada tanggal yang sama. ",""))</f>
        <v/>
      </c>
      <c r="O37" t="str">
        <f t="shared" si="1"/>
        <v/>
      </c>
    </row>
    <row r="38" spans="1:15">
      <c r="A38" s="9"/>
      <c r="B38" s="12"/>
      <c r="C38" s="12"/>
      <c r="E38" t="str">
        <f>IFERROR(INDEX(Setup!$I$3:$I$17,MATCH($D38,Setup!$H$3:$H$17,0)),"")</f>
        <v/>
      </c>
      <c r="L38" t="str">
        <f>IF(OR(AND(G38&lt;&gt;"",SUMPRODUCT(($A$3:$A$62=$A38)*($B$3:$B$62&lt;$C38)*($C$3:$C$62&gt;$B38)*(ROW($A$3:$A$62)&lt;&gt;ROW())*((($G$3:$G$62=G38)+($H$3:$H$62=G38)+($I$3:$I$62=G38)+($J$3:$J$62=G38))&gt;0))&gt;0),AND(H38&lt;&gt;"",SUMPRODUCT(($A$3:$A$62=$A38)*($B$3:$B$62&lt;$C38)*($C$3:$C$62&gt;$B38)*(ROW($A$3:$A$62)&lt;&gt;ROW())*((($G$3:$G$62=H38)+($H$3:$H$62=H38)+($I$3:$I$62=H38)+($J$3:$J$62=H38))&gt;0))&gt;0),AND(I38&lt;&gt;"",SUMPRODUCT(($A$3:$A$62=$A38)*($B$3:$B$62&lt;$C38)*($C$3:$C$62&gt;$B38)*(ROW($A$3:$A$62)&lt;&gt;ROW())*((($G$3:$G$62=I38)+($H$3:$H$62=I38)+($I$3:$I$62=I38)+($J$3:$J$62=I38))&gt;0))&gt;0),AND(J38&lt;&gt;"",SUMPRODUCT(($A$3:$A$62=$A38)*($B$3:$B$62&lt;$C38)*($C$3:$C$62&gt;$B38)*(ROW($A$3:$A$62)&lt;&gt;ROW())*((($G$3:$G$62=J38)+($H$3:$H$62=J38)+($I$3:$I$62=J38)+($J$3:$J$62=J38))&gt;0))&gt;0)),"RED - MEETING CLASH",IF(OR(AND(G38&lt;&gt;"",COUNTIFS('Work Activity'!$C$3:$C$89,$A38,'Work Activity'!$G$3:$G$89,G38,'Work Activity'!$A$3:$A$89,"&lt;&gt;"&amp;$D38)&gt;0),AND(H38&lt;&gt;"",COUNTIFS('Work Activity'!$C$3:$C$89,$A38,'Work Activity'!$G$3:$G$89,H38,'Work Activity'!$A$3:$A$89,"&lt;&gt;"&amp;$D38)&gt;0),AND(I38&lt;&gt;"",COUNTIFS('Work Activity'!$C$3:$C$89,$A38,'Work Activity'!$G$3:$G$89,I38,'Work Activity'!$A$3:$A$89,"&lt;&gt;"&amp;$D38)&gt;0),AND(J38&lt;&gt;"",COUNTIFS('Work Activity'!$C$3:$C$89,$A38,'Work Activity'!$G$3:$G$89,J38,'Work Activity'!$A$3:$A$89,"&lt;&gt;"&amp;$D38)&gt;0)),"YELLOW - DEADLINE CHECK","CLEAR"))</f>
        <v>CLEAR</v>
      </c>
      <c r="M38" t="str">
        <f>TRIM(IF(AND(G38&lt;&gt;"",SUMPRODUCT(($A$3:$A$62=$A38)*($B$3:$B$62&lt;$C38)*($C$3:$C$62&gt;$B38)*(ROW($A$3:$A$62)&lt;&gt;ROW())*((($G$3:$G$62=G38)+($H$3:$H$62=G38)+($I$3:$I$62=G38)+($J$3:$J$62=G38))&gt;0))&gt;0),"RED: "&amp;G38&amp;" bentrok meeting. ","")&amp;IF(AND(G38&lt;&gt;"",NOT(SUMPRODUCT(($A$3:$A$62=$A38)*($B$3:$B$62&lt;$C38)*($C$3:$C$62&gt;$B38)*(ROW($A$3:$A$62)&lt;&gt;ROW())*((($G$3:$G$62=G38)+($H$3:$H$62=G38)+($I$3:$I$62=G38)+($J$3:$J$62=G38))&gt;0))&gt;0),COUNTIFS('Work Activity'!$C$3:$C$89,$A38,'Work Activity'!$G$3:$G$89,G38,'Work Activity'!$A$3:$A$89,"&lt;&gt;"&amp;$D38)&gt;0),"YELLOW: "&amp;G38&amp;" punya deadline project lain pada tanggal yang sama. ","")&amp;IF(AND(H38&lt;&gt;"",SUMPRODUCT(($A$3:$A$62=$A38)*($B$3:$B$62&lt;$C38)*($C$3:$C$62&gt;$B38)*(ROW($A$3:$A$62)&lt;&gt;ROW())*((($G$3:$G$62=H38)+($H$3:$H$62=H38)+($I$3:$I$62=H38)+($J$3:$J$62=H38))&gt;0))&gt;0),"RED: "&amp;H38&amp;" bentrok meeting. ","")&amp;IF(AND(H38&lt;&gt;"",NOT(SUMPRODUCT(($A$3:$A$62=$A38)*($B$3:$B$62&lt;$C38)*($C$3:$C$62&gt;$B38)*(ROW($A$3:$A$62)&lt;&gt;ROW())*((($G$3:$G$62=H38)+($H$3:$H$62=H38)+($I$3:$I$62=H38)+($J$3:$J$62=H38))&gt;0))&gt;0),COUNTIFS('Work Activity'!$C$3:$C$89,$A38,'Work Activity'!$G$3:$G$89,H38,'Work Activity'!$A$3:$A$89,"&lt;&gt;"&amp;$D38)&gt;0),"YELLOW: "&amp;H38&amp;" punya deadline project lain pada tanggal yang sama. ","")&amp;IF(AND(I38&lt;&gt;"",SUMPRODUCT(($A$3:$A$62=$A38)*($B$3:$B$62&lt;$C38)*($C$3:$C$62&gt;$B38)*(ROW($A$3:$A$62)&lt;&gt;ROW())*((($G$3:$G$62=I38)+($H$3:$H$62=I38)+($I$3:$I$62=I38)+($J$3:$J$62=I38))&gt;0))&gt;0),"RED: "&amp;I38&amp;" bentrok meeting. ","")&amp;IF(AND(I38&lt;&gt;"",NOT(SUMPRODUCT(($A$3:$A$62=$A38)*($B$3:$B$62&lt;$C38)*($C$3:$C$62&gt;$B38)*(ROW($A$3:$A$62)&lt;&gt;ROW())*((($G$3:$G$62=I38)+($H$3:$H$62=I38)+($I$3:$I$62=I38)+($J$3:$J$62=I38))&gt;0))&gt;0),COUNTIFS('Work Activity'!$C$3:$C$89,$A38,'Work Activity'!$G$3:$G$89,I38,'Work Activity'!$A$3:$A$89,"&lt;&gt;"&amp;$D38)&gt;0),"YELLOW: "&amp;I38&amp;" punya deadline project lain pada tanggal yang sama. ","")&amp;IF(AND(J38&lt;&gt;"",SUMPRODUCT(($A$3:$A$62=$A38)*($B$3:$B$62&lt;$C38)*($C$3:$C$62&gt;$B38)*(ROW($A$3:$A$62)&lt;&gt;ROW())*((($G$3:$G$62=J38)+($H$3:$H$62=J38)+($I$3:$I$62=J38)+($J$3:$J$62=J38))&gt;0))&gt;0),"RED: "&amp;J38&amp;" bentrok meeting. ","")&amp;IF(AND(J38&lt;&gt;"",NOT(SUMPRODUCT(($A$3:$A$62=$A38)*($B$3:$B$62&lt;$C38)*($C$3:$C$62&gt;$B38)*(ROW($A$3:$A$62)&lt;&gt;ROW())*((($G$3:$G$62=J38)+($H$3:$H$62=J38)+($I$3:$I$62=J38)+($J$3:$J$62=J38))&gt;0))&gt;0),COUNTIFS('Work Activity'!$C$3:$C$89,$A38,'Work Activity'!$G$3:$G$89,J38,'Work Activity'!$A$3:$A$89,"&lt;&gt;"&amp;$D38)&gt;0),"YELLOW: "&amp;J38&amp;" punya deadline project lain pada tanggal yang sama. ",""))</f>
        <v/>
      </c>
      <c r="O38" t="str">
        <f t="shared" si="1"/>
        <v/>
      </c>
    </row>
    <row r="39" spans="1:15">
      <c r="A39" s="9"/>
      <c r="B39" s="12"/>
      <c r="C39" s="12"/>
      <c r="E39" t="str">
        <f>IFERROR(INDEX(Setup!$I$3:$I$17,MATCH($D39,Setup!$H$3:$H$17,0)),"")</f>
        <v/>
      </c>
      <c r="L39" t="str">
        <f>IF(OR(AND(G39&lt;&gt;"",SUMPRODUCT(($A$3:$A$62=$A39)*($B$3:$B$62&lt;$C39)*($C$3:$C$62&gt;$B39)*(ROW($A$3:$A$62)&lt;&gt;ROW())*((($G$3:$G$62=G39)+($H$3:$H$62=G39)+($I$3:$I$62=G39)+($J$3:$J$62=G39))&gt;0))&gt;0),AND(H39&lt;&gt;"",SUMPRODUCT(($A$3:$A$62=$A39)*($B$3:$B$62&lt;$C39)*($C$3:$C$62&gt;$B39)*(ROW($A$3:$A$62)&lt;&gt;ROW())*((($G$3:$G$62=H39)+($H$3:$H$62=H39)+($I$3:$I$62=H39)+($J$3:$J$62=H39))&gt;0))&gt;0),AND(I39&lt;&gt;"",SUMPRODUCT(($A$3:$A$62=$A39)*($B$3:$B$62&lt;$C39)*($C$3:$C$62&gt;$B39)*(ROW($A$3:$A$62)&lt;&gt;ROW())*((($G$3:$G$62=I39)+($H$3:$H$62=I39)+($I$3:$I$62=I39)+($J$3:$J$62=I39))&gt;0))&gt;0),AND(J39&lt;&gt;"",SUMPRODUCT(($A$3:$A$62=$A39)*($B$3:$B$62&lt;$C39)*($C$3:$C$62&gt;$B39)*(ROW($A$3:$A$62)&lt;&gt;ROW())*((($G$3:$G$62=J39)+($H$3:$H$62=J39)+($I$3:$I$62=J39)+($J$3:$J$62=J39))&gt;0))&gt;0)),"RED - MEETING CLASH",IF(OR(AND(G39&lt;&gt;"",COUNTIFS('Work Activity'!$C$3:$C$89,$A39,'Work Activity'!$G$3:$G$89,G39,'Work Activity'!$A$3:$A$89,"&lt;&gt;"&amp;$D39)&gt;0),AND(H39&lt;&gt;"",COUNTIFS('Work Activity'!$C$3:$C$89,$A39,'Work Activity'!$G$3:$G$89,H39,'Work Activity'!$A$3:$A$89,"&lt;&gt;"&amp;$D39)&gt;0),AND(I39&lt;&gt;"",COUNTIFS('Work Activity'!$C$3:$C$89,$A39,'Work Activity'!$G$3:$G$89,I39,'Work Activity'!$A$3:$A$89,"&lt;&gt;"&amp;$D39)&gt;0),AND(J39&lt;&gt;"",COUNTIFS('Work Activity'!$C$3:$C$89,$A39,'Work Activity'!$G$3:$G$89,J39,'Work Activity'!$A$3:$A$89,"&lt;&gt;"&amp;$D39)&gt;0)),"YELLOW - DEADLINE CHECK","CLEAR"))</f>
        <v>CLEAR</v>
      </c>
      <c r="M39" t="str">
        <f>TRIM(IF(AND(G39&lt;&gt;"",SUMPRODUCT(($A$3:$A$62=$A39)*($B$3:$B$62&lt;$C39)*($C$3:$C$62&gt;$B39)*(ROW($A$3:$A$62)&lt;&gt;ROW())*((($G$3:$G$62=G39)+($H$3:$H$62=G39)+($I$3:$I$62=G39)+($J$3:$J$62=G39))&gt;0))&gt;0),"RED: "&amp;G39&amp;" bentrok meeting. ","")&amp;IF(AND(G39&lt;&gt;"",NOT(SUMPRODUCT(($A$3:$A$62=$A39)*($B$3:$B$62&lt;$C39)*($C$3:$C$62&gt;$B39)*(ROW($A$3:$A$62)&lt;&gt;ROW())*((($G$3:$G$62=G39)+($H$3:$H$62=G39)+($I$3:$I$62=G39)+($J$3:$J$62=G39))&gt;0))&gt;0),COUNTIFS('Work Activity'!$C$3:$C$89,$A39,'Work Activity'!$G$3:$G$89,G39,'Work Activity'!$A$3:$A$89,"&lt;&gt;"&amp;$D39)&gt;0),"YELLOW: "&amp;G39&amp;" punya deadline project lain pada tanggal yang sama. ","")&amp;IF(AND(H39&lt;&gt;"",SUMPRODUCT(($A$3:$A$62=$A39)*($B$3:$B$62&lt;$C39)*($C$3:$C$62&gt;$B39)*(ROW($A$3:$A$62)&lt;&gt;ROW())*((($G$3:$G$62=H39)+($H$3:$H$62=H39)+($I$3:$I$62=H39)+($J$3:$J$62=H39))&gt;0))&gt;0),"RED: "&amp;H39&amp;" bentrok meeting. ","")&amp;IF(AND(H39&lt;&gt;"",NOT(SUMPRODUCT(($A$3:$A$62=$A39)*($B$3:$B$62&lt;$C39)*($C$3:$C$62&gt;$B39)*(ROW($A$3:$A$62)&lt;&gt;ROW())*((($G$3:$G$62=H39)+($H$3:$H$62=H39)+($I$3:$I$62=H39)+($J$3:$J$62=H39))&gt;0))&gt;0),COUNTIFS('Work Activity'!$C$3:$C$89,$A39,'Work Activity'!$G$3:$G$89,H39,'Work Activity'!$A$3:$A$89,"&lt;&gt;"&amp;$D39)&gt;0),"YELLOW: "&amp;H39&amp;" punya deadline project lain pada tanggal yang sama. ","")&amp;IF(AND(I39&lt;&gt;"",SUMPRODUCT(($A$3:$A$62=$A39)*($B$3:$B$62&lt;$C39)*($C$3:$C$62&gt;$B39)*(ROW($A$3:$A$62)&lt;&gt;ROW())*((($G$3:$G$62=I39)+($H$3:$H$62=I39)+($I$3:$I$62=I39)+($J$3:$J$62=I39))&gt;0))&gt;0),"RED: "&amp;I39&amp;" bentrok meeting. ","")&amp;IF(AND(I39&lt;&gt;"",NOT(SUMPRODUCT(($A$3:$A$62=$A39)*($B$3:$B$62&lt;$C39)*($C$3:$C$62&gt;$B39)*(ROW($A$3:$A$62)&lt;&gt;ROW())*((($G$3:$G$62=I39)+($H$3:$H$62=I39)+($I$3:$I$62=I39)+($J$3:$J$62=I39))&gt;0))&gt;0),COUNTIFS('Work Activity'!$C$3:$C$89,$A39,'Work Activity'!$G$3:$G$89,I39,'Work Activity'!$A$3:$A$89,"&lt;&gt;"&amp;$D39)&gt;0),"YELLOW: "&amp;I39&amp;" punya deadline project lain pada tanggal yang sama. ","")&amp;IF(AND(J39&lt;&gt;"",SUMPRODUCT(($A$3:$A$62=$A39)*($B$3:$B$62&lt;$C39)*($C$3:$C$62&gt;$B39)*(ROW($A$3:$A$62)&lt;&gt;ROW())*((($G$3:$G$62=J39)+($H$3:$H$62=J39)+($I$3:$I$62=J39)+($J$3:$J$62=J39))&gt;0))&gt;0),"RED: "&amp;J39&amp;" bentrok meeting. ","")&amp;IF(AND(J39&lt;&gt;"",NOT(SUMPRODUCT(($A$3:$A$62=$A39)*($B$3:$B$62&lt;$C39)*($C$3:$C$62&gt;$B39)*(ROW($A$3:$A$62)&lt;&gt;ROW())*((($G$3:$G$62=J39)+($H$3:$H$62=J39)+($I$3:$I$62=J39)+($J$3:$J$62=J39))&gt;0))&gt;0),COUNTIFS('Work Activity'!$C$3:$C$89,$A39,'Work Activity'!$G$3:$G$89,J39,'Work Activity'!$A$3:$A$89,"&lt;&gt;"&amp;$D39)&gt;0),"YELLOW: "&amp;J39&amp;" punya deadline project lain pada tanggal yang sama. ",""))</f>
        <v/>
      </c>
      <c r="O39" t="str">
        <f t="shared" si="1"/>
        <v/>
      </c>
    </row>
    <row r="40" spans="1:15">
      <c r="A40" s="9"/>
      <c r="B40" s="12"/>
      <c r="C40" s="12"/>
      <c r="E40" t="str">
        <f>IFERROR(INDEX(Setup!$I$3:$I$17,MATCH($D40,Setup!$H$3:$H$17,0)),"")</f>
        <v/>
      </c>
      <c r="L40" t="str">
        <f>IF(OR(AND(G40&lt;&gt;"",SUMPRODUCT(($A$3:$A$62=$A40)*($B$3:$B$62&lt;$C40)*($C$3:$C$62&gt;$B40)*(ROW($A$3:$A$62)&lt;&gt;ROW())*((($G$3:$G$62=G40)+($H$3:$H$62=G40)+($I$3:$I$62=G40)+($J$3:$J$62=G40))&gt;0))&gt;0),AND(H40&lt;&gt;"",SUMPRODUCT(($A$3:$A$62=$A40)*($B$3:$B$62&lt;$C40)*($C$3:$C$62&gt;$B40)*(ROW($A$3:$A$62)&lt;&gt;ROW())*((($G$3:$G$62=H40)+($H$3:$H$62=H40)+($I$3:$I$62=H40)+($J$3:$J$62=H40))&gt;0))&gt;0),AND(I40&lt;&gt;"",SUMPRODUCT(($A$3:$A$62=$A40)*($B$3:$B$62&lt;$C40)*($C$3:$C$62&gt;$B40)*(ROW($A$3:$A$62)&lt;&gt;ROW())*((($G$3:$G$62=I40)+($H$3:$H$62=I40)+($I$3:$I$62=I40)+($J$3:$J$62=I40))&gt;0))&gt;0),AND(J40&lt;&gt;"",SUMPRODUCT(($A$3:$A$62=$A40)*($B$3:$B$62&lt;$C40)*($C$3:$C$62&gt;$B40)*(ROW($A$3:$A$62)&lt;&gt;ROW())*((($G$3:$G$62=J40)+($H$3:$H$62=J40)+($I$3:$I$62=J40)+($J$3:$J$62=J40))&gt;0))&gt;0)),"RED - MEETING CLASH",IF(OR(AND(G40&lt;&gt;"",COUNTIFS('Work Activity'!$C$3:$C$89,$A40,'Work Activity'!$G$3:$G$89,G40,'Work Activity'!$A$3:$A$89,"&lt;&gt;"&amp;$D40)&gt;0),AND(H40&lt;&gt;"",COUNTIFS('Work Activity'!$C$3:$C$89,$A40,'Work Activity'!$G$3:$G$89,H40,'Work Activity'!$A$3:$A$89,"&lt;&gt;"&amp;$D40)&gt;0),AND(I40&lt;&gt;"",COUNTIFS('Work Activity'!$C$3:$C$89,$A40,'Work Activity'!$G$3:$G$89,I40,'Work Activity'!$A$3:$A$89,"&lt;&gt;"&amp;$D40)&gt;0),AND(J40&lt;&gt;"",COUNTIFS('Work Activity'!$C$3:$C$89,$A40,'Work Activity'!$G$3:$G$89,J40,'Work Activity'!$A$3:$A$89,"&lt;&gt;"&amp;$D40)&gt;0)),"YELLOW - DEADLINE CHECK","CLEAR"))</f>
        <v>CLEAR</v>
      </c>
      <c r="M40" t="str">
        <f>TRIM(IF(AND(G40&lt;&gt;"",SUMPRODUCT(($A$3:$A$62=$A40)*($B$3:$B$62&lt;$C40)*($C$3:$C$62&gt;$B40)*(ROW($A$3:$A$62)&lt;&gt;ROW())*((($G$3:$G$62=G40)+($H$3:$H$62=G40)+($I$3:$I$62=G40)+($J$3:$J$62=G40))&gt;0))&gt;0),"RED: "&amp;G40&amp;" bentrok meeting. ","")&amp;IF(AND(G40&lt;&gt;"",NOT(SUMPRODUCT(($A$3:$A$62=$A40)*($B$3:$B$62&lt;$C40)*($C$3:$C$62&gt;$B40)*(ROW($A$3:$A$62)&lt;&gt;ROW())*((($G$3:$G$62=G40)+($H$3:$H$62=G40)+($I$3:$I$62=G40)+($J$3:$J$62=G40))&gt;0))&gt;0),COUNTIFS('Work Activity'!$C$3:$C$89,$A40,'Work Activity'!$G$3:$G$89,G40,'Work Activity'!$A$3:$A$89,"&lt;&gt;"&amp;$D40)&gt;0),"YELLOW: "&amp;G40&amp;" punya deadline project lain pada tanggal yang sama. ","")&amp;IF(AND(H40&lt;&gt;"",SUMPRODUCT(($A$3:$A$62=$A40)*($B$3:$B$62&lt;$C40)*($C$3:$C$62&gt;$B40)*(ROW($A$3:$A$62)&lt;&gt;ROW())*((($G$3:$G$62=H40)+($H$3:$H$62=H40)+($I$3:$I$62=H40)+($J$3:$J$62=H40))&gt;0))&gt;0),"RED: "&amp;H40&amp;" bentrok meeting. ","")&amp;IF(AND(H40&lt;&gt;"",NOT(SUMPRODUCT(($A$3:$A$62=$A40)*($B$3:$B$62&lt;$C40)*($C$3:$C$62&gt;$B40)*(ROW($A$3:$A$62)&lt;&gt;ROW())*((($G$3:$G$62=H40)+($H$3:$H$62=H40)+($I$3:$I$62=H40)+($J$3:$J$62=H40))&gt;0))&gt;0),COUNTIFS('Work Activity'!$C$3:$C$89,$A40,'Work Activity'!$G$3:$G$89,H40,'Work Activity'!$A$3:$A$89,"&lt;&gt;"&amp;$D40)&gt;0),"YELLOW: "&amp;H40&amp;" punya deadline project lain pada tanggal yang sama. ","")&amp;IF(AND(I40&lt;&gt;"",SUMPRODUCT(($A$3:$A$62=$A40)*($B$3:$B$62&lt;$C40)*($C$3:$C$62&gt;$B40)*(ROW($A$3:$A$62)&lt;&gt;ROW())*((($G$3:$G$62=I40)+($H$3:$H$62=I40)+($I$3:$I$62=I40)+($J$3:$J$62=I40))&gt;0))&gt;0),"RED: "&amp;I40&amp;" bentrok meeting. ","")&amp;IF(AND(I40&lt;&gt;"",NOT(SUMPRODUCT(($A$3:$A$62=$A40)*($B$3:$B$62&lt;$C40)*($C$3:$C$62&gt;$B40)*(ROW($A$3:$A$62)&lt;&gt;ROW())*((($G$3:$G$62=I40)+($H$3:$H$62=I40)+($I$3:$I$62=I40)+($J$3:$J$62=I40))&gt;0))&gt;0),COUNTIFS('Work Activity'!$C$3:$C$89,$A40,'Work Activity'!$G$3:$G$89,I40,'Work Activity'!$A$3:$A$89,"&lt;&gt;"&amp;$D40)&gt;0),"YELLOW: "&amp;I40&amp;" punya deadline project lain pada tanggal yang sama. ","")&amp;IF(AND(J40&lt;&gt;"",SUMPRODUCT(($A$3:$A$62=$A40)*($B$3:$B$62&lt;$C40)*($C$3:$C$62&gt;$B40)*(ROW($A$3:$A$62)&lt;&gt;ROW())*((($G$3:$G$62=J40)+($H$3:$H$62=J40)+($I$3:$I$62=J40)+($J$3:$J$62=J40))&gt;0))&gt;0),"RED: "&amp;J40&amp;" bentrok meeting. ","")&amp;IF(AND(J40&lt;&gt;"",NOT(SUMPRODUCT(($A$3:$A$62=$A40)*($B$3:$B$62&lt;$C40)*($C$3:$C$62&gt;$B40)*(ROW($A$3:$A$62)&lt;&gt;ROW())*((($G$3:$G$62=J40)+($H$3:$H$62=J40)+($I$3:$I$62=J40)+($J$3:$J$62=J40))&gt;0))&gt;0),COUNTIFS('Work Activity'!$C$3:$C$89,$A40,'Work Activity'!$G$3:$G$89,J40,'Work Activity'!$A$3:$A$89,"&lt;&gt;"&amp;$D40)&gt;0),"YELLOW: "&amp;J40&amp;" punya deadline project lain pada tanggal yang sama. ",""))</f>
        <v/>
      </c>
      <c r="O40" t="str">
        <f t="shared" si="1"/>
        <v/>
      </c>
    </row>
    <row r="41" spans="1:15">
      <c r="A41" s="9"/>
      <c r="B41" s="12"/>
      <c r="C41" s="12"/>
      <c r="E41" t="str">
        <f>IFERROR(INDEX(Setup!$I$3:$I$17,MATCH($D41,Setup!$H$3:$H$17,0)),"")</f>
        <v/>
      </c>
      <c r="L41" t="str">
        <f>IF(OR(AND(G41&lt;&gt;"",SUMPRODUCT(($A$3:$A$62=$A41)*($B$3:$B$62&lt;$C41)*($C$3:$C$62&gt;$B41)*(ROW($A$3:$A$62)&lt;&gt;ROW())*((($G$3:$G$62=G41)+($H$3:$H$62=G41)+($I$3:$I$62=G41)+($J$3:$J$62=G41))&gt;0))&gt;0),AND(H41&lt;&gt;"",SUMPRODUCT(($A$3:$A$62=$A41)*($B$3:$B$62&lt;$C41)*($C$3:$C$62&gt;$B41)*(ROW($A$3:$A$62)&lt;&gt;ROW())*((($G$3:$G$62=H41)+($H$3:$H$62=H41)+($I$3:$I$62=H41)+($J$3:$J$62=H41))&gt;0))&gt;0),AND(I41&lt;&gt;"",SUMPRODUCT(($A$3:$A$62=$A41)*($B$3:$B$62&lt;$C41)*($C$3:$C$62&gt;$B41)*(ROW($A$3:$A$62)&lt;&gt;ROW())*((($G$3:$G$62=I41)+($H$3:$H$62=I41)+($I$3:$I$62=I41)+($J$3:$J$62=I41))&gt;0))&gt;0),AND(J41&lt;&gt;"",SUMPRODUCT(($A$3:$A$62=$A41)*($B$3:$B$62&lt;$C41)*($C$3:$C$62&gt;$B41)*(ROW($A$3:$A$62)&lt;&gt;ROW())*((($G$3:$G$62=J41)+($H$3:$H$62=J41)+($I$3:$I$62=J41)+($J$3:$J$62=J41))&gt;0))&gt;0)),"RED - MEETING CLASH",IF(OR(AND(G41&lt;&gt;"",COUNTIFS('Work Activity'!$C$3:$C$89,$A41,'Work Activity'!$G$3:$G$89,G41,'Work Activity'!$A$3:$A$89,"&lt;&gt;"&amp;$D41)&gt;0),AND(H41&lt;&gt;"",COUNTIFS('Work Activity'!$C$3:$C$89,$A41,'Work Activity'!$G$3:$G$89,H41,'Work Activity'!$A$3:$A$89,"&lt;&gt;"&amp;$D41)&gt;0),AND(I41&lt;&gt;"",COUNTIFS('Work Activity'!$C$3:$C$89,$A41,'Work Activity'!$G$3:$G$89,I41,'Work Activity'!$A$3:$A$89,"&lt;&gt;"&amp;$D41)&gt;0),AND(J41&lt;&gt;"",COUNTIFS('Work Activity'!$C$3:$C$89,$A41,'Work Activity'!$G$3:$G$89,J41,'Work Activity'!$A$3:$A$89,"&lt;&gt;"&amp;$D41)&gt;0)),"YELLOW - DEADLINE CHECK","CLEAR"))</f>
        <v>CLEAR</v>
      </c>
      <c r="M41" t="str">
        <f>TRIM(IF(AND(G41&lt;&gt;"",SUMPRODUCT(($A$3:$A$62=$A41)*($B$3:$B$62&lt;$C41)*($C$3:$C$62&gt;$B41)*(ROW($A$3:$A$62)&lt;&gt;ROW())*((($G$3:$G$62=G41)+($H$3:$H$62=G41)+($I$3:$I$62=G41)+($J$3:$J$62=G41))&gt;0))&gt;0),"RED: "&amp;G41&amp;" bentrok meeting. ","")&amp;IF(AND(G41&lt;&gt;"",NOT(SUMPRODUCT(($A$3:$A$62=$A41)*($B$3:$B$62&lt;$C41)*($C$3:$C$62&gt;$B41)*(ROW($A$3:$A$62)&lt;&gt;ROW())*((($G$3:$G$62=G41)+($H$3:$H$62=G41)+($I$3:$I$62=G41)+($J$3:$J$62=G41))&gt;0))&gt;0),COUNTIFS('Work Activity'!$C$3:$C$89,$A41,'Work Activity'!$G$3:$G$89,G41,'Work Activity'!$A$3:$A$89,"&lt;&gt;"&amp;$D41)&gt;0),"YELLOW: "&amp;G41&amp;" punya deadline project lain pada tanggal yang sama. ","")&amp;IF(AND(H41&lt;&gt;"",SUMPRODUCT(($A$3:$A$62=$A41)*($B$3:$B$62&lt;$C41)*($C$3:$C$62&gt;$B41)*(ROW($A$3:$A$62)&lt;&gt;ROW())*((($G$3:$G$62=H41)+($H$3:$H$62=H41)+($I$3:$I$62=H41)+($J$3:$J$62=H41))&gt;0))&gt;0),"RED: "&amp;H41&amp;" bentrok meeting. ","")&amp;IF(AND(H41&lt;&gt;"",NOT(SUMPRODUCT(($A$3:$A$62=$A41)*($B$3:$B$62&lt;$C41)*($C$3:$C$62&gt;$B41)*(ROW($A$3:$A$62)&lt;&gt;ROW())*((($G$3:$G$62=H41)+($H$3:$H$62=H41)+($I$3:$I$62=H41)+($J$3:$J$62=H41))&gt;0))&gt;0),COUNTIFS('Work Activity'!$C$3:$C$89,$A41,'Work Activity'!$G$3:$G$89,H41,'Work Activity'!$A$3:$A$89,"&lt;&gt;"&amp;$D41)&gt;0),"YELLOW: "&amp;H41&amp;" punya deadline project lain pada tanggal yang sama. ","")&amp;IF(AND(I41&lt;&gt;"",SUMPRODUCT(($A$3:$A$62=$A41)*($B$3:$B$62&lt;$C41)*($C$3:$C$62&gt;$B41)*(ROW($A$3:$A$62)&lt;&gt;ROW())*((($G$3:$G$62=I41)+($H$3:$H$62=I41)+($I$3:$I$62=I41)+($J$3:$J$62=I41))&gt;0))&gt;0),"RED: "&amp;I41&amp;" bentrok meeting. ","")&amp;IF(AND(I41&lt;&gt;"",NOT(SUMPRODUCT(($A$3:$A$62=$A41)*($B$3:$B$62&lt;$C41)*($C$3:$C$62&gt;$B41)*(ROW($A$3:$A$62)&lt;&gt;ROW())*((($G$3:$G$62=I41)+($H$3:$H$62=I41)+($I$3:$I$62=I41)+($J$3:$J$62=I41))&gt;0))&gt;0),COUNTIFS('Work Activity'!$C$3:$C$89,$A41,'Work Activity'!$G$3:$G$89,I41,'Work Activity'!$A$3:$A$89,"&lt;&gt;"&amp;$D41)&gt;0),"YELLOW: "&amp;I41&amp;" punya deadline project lain pada tanggal yang sama. ","")&amp;IF(AND(J41&lt;&gt;"",SUMPRODUCT(($A$3:$A$62=$A41)*($B$3:$B$62&lt;$C41)*($C$3:$C$62&gt;$B41)*(ROW($A$3:$A$62)&lt;&gt;ROW())*((($G$3:$G$62=J41)+($H$3:$H$62=J41)+($I$3:$I$62=J41)+($J$3:$J$62=J41))&gt;0))&gt;0),"RED: "&amp;J41&amp;" bentrok meeting. ","")&amp;IF(AND(J41&lt;&gt;"",NOT(SUMPRODUCT(($A$3:$A$62=$A41)*($B$3:$B$62&lt;$C41)*($C$3:$C$62&gt;$B41)*(ROW($A$3:$A$62)&lt;&gt;ROW())*((($G$3:$G$62=J41)+($H$3:$H$62=J41)+($I$3:$I$62=J41)+($J$3:$J$62=J41))&gt;0))&gt;0),COUNTIFS('Work Activity'!$C$3:$C$89,$A41,'Work Activity'!$G$3:$G$89,J41,'Work Activity'!$A$3:$A$89,"&lt;&gt;"&amp;$D41)&gt;0),"YELLOW: "&amp;J41&amp;" punya deadline project lain pada tanggal yang sama. ",""))</f>
        <v/>
      </c>
      <c r="O41" t="str">
        <f t="shared" si="1"/>
        <v/>
      </c>
    </row>
    <row r="42" spans="1:15">
      <c r="A42" s="9"/>
      <c r="B42" s="12"/>
      <c r="C42" s="12"/>
      <c r="E42" t="str">
        <f>IFERROR(INDEX(Setup!$I$3:$I$17,MATCH($D42,Setup!$H$3:$H$17,0)),"")</f>
        <v/>
      </c>
      <c r="L42" t="str">
        <f>IF(OR(AND(G42&lt;&gt;"",SUMPRODUCT(($A$3:$A$62=$A42)*($B$3:$B$62&lt;$C42)*($C$3:$C$62&gt;$B42)*(ROW($A$3:$A$62)&lt;&gt;ROW())*((($G$3:$G$62=G42)+($H$3:$H$62=G42)+($I$3:$I$62=G42)+($J$3:$J$62=G42))&gt;0))&gt;0),AND(H42&lt;&gt;"",SUMPRODUCT(($A$3:$A$62=$A42)*($B$3:$B$62&lt;$C42)*($C$3:$C$62&gt;$B42)*(ROW($A$3:$A$62)&lt;&gt;ROW())*((($G$3:$G$62=H42)+($H$3:$H$62=H42)+($I$3:$I$62=H42)+($J$3:$J$62=H42))&gt;0))&gt;0),AND(I42&lt;&gt;"",SUMPRODUCT(($A$3:$A$62=$A42)*($B$3:$B$62&lt;$C42)*($C$3:$C$62&gt;$B42)*(ROW($A$3:$A$62)&lt;&gt;ROW())*((($G$3:$G$62=I42)+($H$3:$H$62=I42)+($I$3:$I$62=I42)+($J$3:$J$62=I42))&gt;0))&gt;0),AND(J42&lt;&gt;"",SUMPRODUCT(($A$3:$A$62=$A42)*($B$3:$B$62&lt;$C42)*($C$3:$C$62&gt;$B42)*(ROW($A$3:$A$62)&lt;&gt;ROW())*((($G$3:$G$62=J42)+($H$3:$H$62=J42)+($I$3:$I$62=J42)+($J$3:$J$62=J42))&gt;0))&gt;0)),"RED - MEETING CLASH",IF(OR(AND(G42&lt;&gt;"",COUNTIFS('Work Activity'!$C$3:$C$89,$A42,'Work Activity'!$G$3:$G$89,G42,'Work Activity'!$A$3:$A$89,"&lt;&gt;"&amp;$D42)&gt;0),AND(H42&lt;&gt;"",COUNTIFS('Work Activity'!$C$3:$C$89,$A42,'Work Activity'!$G$3:$G$89,H42,'Work Activity'!$A$3:$A$89,"&lt;&gt;"&amp;$D42)&gt;0),AND(I42&lt;&gt;"",COUNTIFS('Work Activity'!$C$3:$C$89,$A42,'Work Activity'!$G$3:$G$89,I42,'Work Activity'!$A$3:$A$89,"&lt;&gt;"&amp;$D42)&gt;0),AND(J42&lt;&gt;"",COUNTIFS('Work Activity'!$C$3:$C$89,$A42,'Work Activity'!$G$3:$G$89,J42,'Work Activity'!$A$3:$A$89,"&lt;&gt;"&amp;$D42)&gt;0)),"YELLOW - DEADLINE CHECK","CLEAR"))</f>
        <v>CLEAR</v>
      </c>
      <c r="M42" t="str">
        <f>TRIM(IF(AND(G42&lt;&gt;"",SUMPRODUCT(($A$3:$A$62=$A42)*($B$3:$B$62&lt;$C42)*($C$3:$C$62&gt;$B42)*(ROW($A$3:$A$62)&lt;&gt;ROW())*((($G$3:$G$62=G42)+($H$3:$H$62=G42)+($I$3:$I$62=G42)+($J$3:$J$62=G42))&gt;0))&gt;0),"RED: "&amp;G42&amp;" bentrok meeting. ","")&amp;IF(AND(G42&lt;&gt;"",NOT(SUMPRODUCT(($A$3:$A$62=$A42)*($B$3:$B$62&lt;$C42)*($C$3:$C$62&gt;$B42)*(ROW($A$3:$A$62)&lt;&gt;ROW())*((($G$3:$G$62=G42)+($H$3:$H$62=G42)+($I$3:$I$62=G42)+($J$3:$J$62=G42))&gt;0))&gt;0),COUNTIFS('Work Activity'!$C$3:$C$89,$A42,'Work Activity'!$G$3:$G$89,G42,'Work Activity'!$A$3:$A$89,"&lt;&gt;"&amp;$D42)&gt;0),"YELLOW: "&amp;G42&amp;" punya deadline project lain pada tanggal yang sama. ","")&amp;IF(AND(H42&lt;&gt;"",SUMPRODUCT(($A$3:$A$62=$A42)*($B$3:$B$62&lt;$C42)*($C$3:$C$62&gt;$B42)*(ROW($A$3:$A$62)&lt;&gt;ROW())*((($G$3:$G$62=H42)+($H$3:$H$62=H42)+($I$3:$I$62=H42)+($J$3:$J$62=H42))&gt;0))&gt;0),"RED: "&amp;H42&amp;" bentrok meeting. ","")&amp;IF(AND(H42&lt;&gt;"",NOT(SUMPRODUCT(($A$3:$A$62=$A42)*($B$3:$B$62&lt;$C42)*($C$3:$C$62&gt;$B42)*(ROW($A$3:$A$62)&lt;&gt;ROW())*((($G$3:$G$62=H42)+($H$3:$H$62=H42)+($I$3:$I$62=H42)+($J$3:$J$62=H42))&gt;0))&gt;0),COUNTIFS('Work Activity'!$C$3:$C$89,$A42,'Work Activity'!$G$3:$G$89,H42,'Work Activity'!$A$3:$A$89,"&lt;&gt;"&amp;$D42)&gt;0),"YELLOW: "&amp;H42&amp;" punya deadline project lain pada tanggal yang sama. ","")&amp;IF(AND(I42&lt;&gt;"",SUMPRODUCT(($A$3:$A$62=$A42)*($B$3:$B$62&lt;$C42)*($C$3:$C$62&gt;$B42)*(ROW($A$3:$A$62)&lt;&gt;ROW())*((($G$3:$G$62=I42)+($H$3:$H$62=I42)+($I$3:$I$62=I42)+($J$3:$J$62=I42))&gt;0))&gt;0),"RED: "&amp;I42&amp;" bentrok meeting. ","")&amp;IF(AND(I42&lt;&gt;"",NOT(SUMPRODUCT(($A$3:$A$62=$A42)*($B$3:$B$62&lt;$C42)*($C$3:$C$62&gt;$B42)*(ROW($A$3:$A$62)&lt;&gt;ROW())*((($G$3:$G$62=I42)+($H$3:$H$62=I42)+($I$3:$I$62=I42)+($J$3:$J$62=I42))&gt;0))&gt;0),COUNTIFS('Work Activity'!$C$3:$C$89,$A42,'Work Activity'!$G$3:$G$89,I42,'Work Activity'!$A$3:$A$89,"&lt;&gt;"&amp;$D42)&gt;0),"YELLOW: "&amp;I42&amp;" punya deadline project lain pada tanggal yang sama. ","")&amp;IF(AND(J42&lt;&gt;"",SUMPRODUCT(($A$3:$A$62=$A42)*($B$3:$B$62&lt;$C42)*($C$3:$C$62&gt;$B42)*(ROW($A$3:$A$62)&lt;&gt;ROW())*((($G$3:$G$62=J42)+($H$3:$H$62=J42)+($I$3:$I$62=J42)+($J$3:$J$62=J42))&gt;0))&gt;0),"RED: "&amp;J42&amp;" bentrok meeting. ","")&amp;IF(AND(J42&lt;&gt;"",NOT(SUMPRODUCT(($A$3:$A$62=$A42)*($B$3:$B$62&lt;$C42)*($C$3:$C$62&gt;$B42)*(ROW($A$3:$A$62)&lt;&gt;ROW())*((($G$3:$G$62=J42)+($H$3:$H$62=J42)+($I$3:$I$62=J42)+($J$3:$J$62=J42))&gt;0))&gt;0),COUNTIFS('Work Activity'!$C$3:$C$89,$A42,'Work Activity'!$G$3:$G$89,J42,'Work Activity'!$A$3:$A$89,"&lt;&gt;"&amp;$D42)&gt;0),"YELLOW: "&amp;J42&amp;" punya deadline project lain pada tanggal yang sama. ",""))</f>
        <v/>
      </c>
      <c r="O42" t="str">
        <f t="shared" si="1"/>
        <v/>
      </c>
    </row>
    <row r="43" spans="1:15">
      <c r="A43" s="9"/>
      <c r="B43" s="12"/>
      <c r="C43" s="12"/>
      <c r="E43" t="str">
        <f>IFERROR(INDEX(Setup!$I$3:$I$17,MATCH($D43,Setup!$H$3:$H$17,0)),"")</f>
        <v/>
      </c>
      <c r="L43" t="str">
        <f>IF(OR(AND(G43&lt;&gt;"",SUMPRODUCT(($A$3:$A$62=$A43)*($B$3:$B$62&lt;$C43)*($C$3:$C$62&gt;$B43)*(ROW($A$3:$A$62)&lt;&gt;ROW())*((($G$3:$G$62=G43)+($H$3:$H$62=G43)+($I$3:$I$62=G43)+($J$3:$J$62=G43))&gt;0))&gt;0),AND(H43&lt;&gt;"",SUMPRODUCT(($A$3:$A$62=$A43)*($B$3:$B$62&lt;$C43)*($C$3:$C$62&gt;$B43)*(ROW($A$3:$A$62)&lt;&gt;ROW())*((($G$3:$G$62=H43)+($H$3:$H$62=H43)+($I$3:$I$62=H43)+($J$3:$J$62=H43))&gt;0))&gt;0),AND(I43&lt;&gt;"",SUMPRODUCT(($A$3:$A$62=$A43)*($B$3:$B$62&lt;$C43)*($C$3:$C$62&gt;$B43)*(ROW($A$3:$A$62)&lt;&gt;ROW())*((($G$3:$G$62=I43)+($H$3:$H$62=I43)+($I$3:$I$62=I43)+($J$3:$J$62=I43))&gt;0))&gt;0),AND(J43&lt;&gt;"",SUMPRODUCT(($A$3:$A$62=$A43)*($B$3:$B$62&lt;$C43)*($C$3:$C$62&gt;$B43)*(ROW($A$3:$A$62)&lt;&gt;ROW())*((($G$3:$G$62=J43)+($H$3:$H$62=J43)+($I$3:$I$62=J43)+($J$3:$J$62=J43))&gt;0))&gt;0)),"RED - MEETING CLASH",IF(OR(AND(G43&lt;&gt;"",COUNTIFS('Work Activity'!$C$3:$C$89,$A43,'Work Activity'!$G$3:$G$89,G43,'Work Activity'!$A$3:$A$89,"&lt;&gt;"&amp;$D43)&gt;0),AND(H43&lt;&gt;"",COUNTIFS('Work Activity'!$C$3:$C$89,$A43,'Work Activity'!$G$3:$G$89,H43,'Work Activity'!$A$3:$A$89,"&lt;&gt;"&amp;$D43)&gt;0),AND(I43&lt;&gt;"",COUNTIFS('Work Activity'!$C$3:$C$89,$A43,'Work Activity'!$G$3:$G$89,I43,'Work Activity'!$A$3:$A$89,"&lt;&gt;"&amp;$D43)&gt;0),AND(J43&lt;&gt;"",COUNTIFS('Work Activity'!$C$3:$C$89,$A43,'Work Activity'!$G$3:$G$89,J43,'Work Activity'!$A$3:$A$89,"&lt;&gt;"&amp;$D43)&gt;0)),"YELLOW - DEADLINE CHECK","CLEAR"))</f>
        <v>CLEAR</v>
      </c>
      <c r="M43" t="str">
        <f>TRIM(IF(AND(G43&lt;&gt;"",SUMPRODUCT(($A$3:$A$62=$A43)*($B$3:$B$62&lt;$C43)*($C$3:$C$62&gt;$B43)*(ROW($A$3:$A$62)&lt;&gt;ROW())*((($G$3:$G$62=G43)+($H$3:$H$62=G43)+($I$3:$I$62=G43)+($J$3:$J$62=G43))&gt;0))&gt;0),"RED: "&amp;G43&amp;" bentrok meeting. ","")&amp;IF(AND(G43&lt;&gt;"",NOT(SUMPRODUCT(($A$3:$A$62=$A43)*($B$3:$B$62&lt;$C43)*($C$3:$C$62&gt;$B43)*(ROW($A$3:$A$62)&lt;&gt;ROW())*((($G$3:$G$62=G43)+($H$3:$H$62=G43)+($I$3:$I$62=G43)+($J$3:$J$62=G43))&gt;0))&gt;0),COUNTIFS('Work Activity'!$C$3:$C$89,$A43,'Work Activity'!$G$3:$G$89,G43,'Work Activity'!$A$3:$A$89,"&lt;&gt;"&amp;$D43)&gt;0),"YELLOW: "&amp;G43&amp;" punya deadline project lain pada tanggal yang sama. ","")&amp;IF(AND(H43&lt;&gt;"",SUMPRODUCT(($A$3:$A$62=$A43)*($B$3:$B$62&lt;$C43)*($C$3:$C$62&gt;$B43)*(ROW($A$3:$A$62)&lt;&gt;ROW())*((($G$3:$G$62=H43)+($H$3:$H$62=H43)+($I$3:$I$62=H43)+($J$3:$J$62=H43))&gt;0))&gt;0),"RED: "&amp;H43&amp;" bentrok meeting. ","")&amp;IF(AND(H43&lt;&gt;"",NOT(SUMPRODUCT(($A$3:$A$62=$A43)*($B$3:$B$62&lt;$C43)*($C$3:$C$62&gt;$B43)*(ROW($A$3:$A$62)&lt;&gt;ROW())*((($G$3:$G$62=H43)+($H$3:$H$62=H43)+($I$3:$I$62=H43)+($J$3:$J$62=H43))&gt;0))&gt;0),COUNTIFS('Work Activity'!$C$3:$C$89,$A43,'Work Activity'!$G$3:$G$89,H43,'Work Activity'!$A$3:$A$89,"&lt;&gt;"&amp;$D43)&gt;0),"YELLOW: "&amp;H43&amp;" punya deadline project lain pada tanggal yang sama. ","")&amp;IF(AND(I43&lt;&gt;"",SUMPRODUCT(($A$3:$A$62=$A43)*($B$3:$B$62&lt;$C43)*($C$3:$C$62&gt;$B43)*(ROW($A$3:$A$62)&lt;&gt;ROW())*((($G$3:$G$62=I43)+($H$3:$H$62=I43)+($I$3:$I$62=I43)+($J$3:$J$62=I43))&gt;0))&gt;0),"RED: "&amp;I43&amp;" bentrok meeting. ","")&amp;IF(AND(I43&lt;&gt;"",NOT(SUMPRODUCT(($A$3:$A$62=$A43)*($B$3:$B$62&lt;$C43)*($C$3:$C$62&gt;$B43)*(ROW($A$3:$A$62)&lt;&gt;ROW())*((($G$3:$G$62=I43)+($H$3:$H$62=I43)+($I$3:$I$62=I43)+($J$3:$J$62=I43))&gt;0))&gt;0),COUNTIFS('Work Activity'!$C$3:$C$89,$A43,'Work Activity'!$G$3:$G$89,I43,'Work Activity'!$A$3:$A$89,"&lt;&gt;"&amp;$D43)&gt;0),"YELLOW: "&amp;I43&amp;" punya deadline project lain pada tanggal yang sama. ","")&amp;IF(AND(J43&lt;&gt;"",SUMPRODUCT(($A$3:$A$62=$A43)*($B$3:$B$62&lt;$C43)*($C$3:$C$62&gt;$B43)*(ROW($A$3:$A$62)&lt;&gt;ROW())*((($G$3:$G$62=J43)+($H$3:$H$62=J43)+($I$3:$I$62=J43)+($J$3:$J$62=J43))&gt;0))&gt;0),"RED: "&amp;J43&amp;" bentrok meeting. ","")&amp;IF(AND(J43&lt;&gt;"",NOT(SUMPRODUCT(($A$3:$A$62=$A43)*($B$3:$B$62&lt;$C43)*($C$3:$C$62&gt;$B43)*(ROW($A$3:$A$62)&lt;&gt;ROW())*((($G$3:$G$62=J43)+($H$3:$H$62=J43)+($I$3:$I$62=J43)+($J$3:$J$62=J43))&gt;0))&gt;0),COUNTIFS('Work Activity'!$C$3:$C$89,$A43,'Work Activity'!$G$3:$G$89,J43,'Work Activity'!$A$3:$A$89,"&lt;&gt;"&amp;$D43)&gt;0),"YELLOW: "&amp;J43&amp;" punya deadline project lain pada tanggal yang sama. ",""))</f>
        <v/>
      </c>
      <c r="O43" t="str">
        <f t="shared" si="1"/>
        <v/>
      </c>
    </row>
    <row r="44" spans="1:15">
      <c r="A44" s="9"/>
      <c r="B44" s="12"/>
      <c r="C44" s="12"/>
      <c r="E44" t="str">
        <f>IFERROR(INDEX(Setup!$I$3:$I$17,MATCH($D44,Setup!$H$3:$H$17,0)),"")</f>
        <v/>
      </c>
      <c r="L44" t="str">
        <f>IF(OR(AND(G44&lt;&gt;"",SUMPRODUCT(($A$3:$A$62=$A44)*($B$3:$B$62&lt;$C44)*($C$3:$C$62&gt;$B44)*(ROW($A$3:$A$62)&lt;&gt;ROW())*((($G$3:$G$62=G44)+($H$3:$H$62=G44)+($I$3:$I$62=G44)+($J$3:$J$62=G44))&gt;0))&gt;0),AND(H44&lt;&gt;"",SUMPRODUCT(($A$3:$A$62=$A44)*($B$3:$B$62&lt;$C44)*($C$3:$C$62&gt;$B44)*(ROW($A$3:$A$62)&lt;&gt;ROW())*((($G$3:$G$62=H44)+($H$3:$H$62=H44)+($I$3:$I$62=H44)+($J$3:$J$62=H44))&gt;0))&gt;0),AND(I44&lt;&gt;"",SUMPRODUCT(($A$3:$A$62=$A44)*($B$3:$B$62&lt;$C44)*($C$3:$C$62&gt;$B44)*(ROW($A$3:$A$62)&lt;&gt;ROW())*((($G$3:$G$62=I44)+($H$3:$H$62=I44)+($I$3:$I$62=I44)+($J$3:$J$62=I44))&gt;0))&gt;0),AND(J44&lt;&gt;"",SUMPRODUCT(($A$3:$A$62=$A44)*($B$3:$B$62&lt;$C44)*($C$3:$C$62&gt;$B44)*(ROW($A$3:$A$62)&lt;&gt;ROW())*((($G$3:$G$62=J44)+($H$3:$H$62=J44)+($I$3:$I$62=J44)+($J$3:$J$62=J44))&gt;0))&gt;0)),"RED - MEETING CLASH",IF(OR(AND(G44&lt;&gt;"",COUNTIFS('Work Activity'!$C$3:$C$89,$A44,'Work Activity'!$G$3:$G$89,G44,'Work Activity'!$A$3:$A$89,"&lt;&gt;"&amp;$D44)&gt;0),AND(H44&lt;&gt;"",COUNTIFS('Work Activity'!$C$3:$C$89,$A44,'Work Activity'!$G$3:$G$89,H44,'Work Activity'!$A$3:$A$89,"&lt;&gt;"&amp;$D44)&gt;0),AND(I44&lt;&gt;"",COUNTIFS('Work Activity'!$C$3:$C$89,$A44,'Work Activity'!$G$3:$G$89,I44,'Work Activity'!$A$3:$A$89,"&lt;&gt;"&amp;$D44)&gt;0),AND(J44&lt;&gt;"",COUNTIFS('Work Activity'!$C$3:$C$89,$A44,'Work Activity'!$G$3:$G$89,J44,'Work Activity'!$A$3:$A$89,"&lt;&gt;"&amp;$D44)&gt;0)),"YELLOW - DEADLINE CHECK","CLEAR"))</f>
        <v>CLEAR</v>
      </c>
      <c r="M44" t="str">
        <f>TRIM(IF(AND(G44&lt;&gt;"",SUMPRODUCT(($A$3:$A$62=$A44)*($B$3:$B$62&lt;$C44)*($C$3:$C$62&gt;$B44)*(ROW($A$3:$A$62)&lt;&gt;ROW())*((($G$3:$G$62=G44)+($H$3:$H$62=G44)+($I$3:$I$62=G44)+($J$3:$J$62=G44))&gt;0))&gt;0),"RED: "&amp;G44&amp;" bentrok meeting. ","")&amp;IF(AND(G44&lt;&gt;"",NOT(SUMPRODUCT(($A$3:$A$62=$A44)*($B$3:$B$62&lt;$C44)*($C$3:$C$62&gt;$B44)*(ROW($A$3:$A$62)&lt;&gt;ROW())*((($G$3:$G$62=G44)+($H$3:$H$62=G44)+($I$3:$I$62=G44)+($J$3:$J$62=G44))&gt;0))&gt;0),COUNTIFS('Work Activity'!$C$3:$C$89,$A44,'Work Activity'!$G$3:$G$89,G44,'Work Activity'!$A$3:$A$89,"&lt;&gt;"&amp;$D44)&gt;0),"YELLOW: "&amp;G44&amp;" punya deadline project lain pada tanggal yang sama. ","")&amp;IF(AND(H44&lt;&gt;"",SUMPRODUCT(($A$3:$A$62=$A44)*($B$3:$B$62&lt;$C44)*($C$3:$C$62&gt;$B44)*(ROW($A$3:$A$62)&lt;&gt;ROW())*((($G$3:$G$62=H44)+($H$3:$H$62=H44)+($I$3:$I$62=H44)+($J$3:$J$62=H44))&gt;0))&gt;0),"RED: "&amp;H44&amp;" bentrok meeting. ","")&amp;IF(AND(H44&lt;&gt;"",NOT(SUMPRODUCT(($A$3:$A$62=$A44)*($B$3:$B$62&lt;$C44)*($C$3:$C$62&gt;$B44)*(ROW($A$3:$A$62)&lt;&gt;ROW())*((($G$3:$G$62=H44)+($H$3:$H$62=H44)+($I$3:$I$62=H44)+($J$3:$J$62=H44))&gt;0))&gt;0),COUNTIFS('Work Activity'!$C$3:$C$89,$A44,'Work Activity'!$G$3:$G$89,H44,'Work Activity'!$A$3:$A$89,"&lt;&gt;"&amp;$D44)&gt;0),"YELLOW: "&amp;H44&amp;" punya deadline project lain pada tanggal yang sama. ","")&amp;IF(AND(I44&lt;&gt;"",SUMPRODUCT(($A$3:$A$62=$A44)*($B$3:$B$62&lt;$C44)*($C$3:$C$62&gt;$B44)*(ROW($A$3:$A$62)&lt;&gt;ROW())*((($G$3:$G$62=I44)+($H$3:$H$62=I44)+($I$3:$I$62=I44)+($J$3:$J$62=I44))&gt;0))&gt;0),"RED: "&amp;I44&amp;" bentrok meeting. ","")&amp;IF(AND(I44&lt;&gt;"",NOT(SUMPRODUCT(($A$3:$A$62=$A44)*($B$3:$B$62&lt;$C44)*($C$3:$C$62&gt;$B44)*(ROW($A$3:$A$62)&lt;&gt;ROW())*((($G$3:$G$62=I44)+($H$3:$H$62=I44)+($I$3:$I$62=I44)+($J$3:$J$62=I44))&gt;0))&gt;0),COUNTIFS('Work Activity'!$C$3:$C$89,$A44,'Work Activity'!$G$3:$G$89,I44,'Work Activity'!$A$3:$A$89,"&lt;&gt;"&amp;$D44)&gt;0),"YELLOW: "&amp;I44&amp;" punya deadline project lain pada tanggal yang sama. ","")&amp;IF(AND(J44&lt;&gt;"",SUMPRODUCT(($A$3:$A$62=$A44)*($B$3:$B$62&lt;$C44)*($C$3:$C$62&gt;$B44)*(ROW($A$3:$A$62)&lt;&gt;ROW())*((($G$3:$G$62=J44)+($H$3:$H$62=J44)+($I$3:$I$62=J44)+($J$3:$J$62=J44))&gt;0))&gt;0),"RED: "&amp;J44&amp;" bentrok meeting. ","")&amp;IF(AND(J44&lt;&gt;"",NOT(SUMPRODUCT(($A$3:$A$62=$A44)*($B$3:$B$62&lt;$C44)*($C$3:$C$62&gt;$B44)*(ROW($A$3:$A$62)&lt;&gt;ROW())*((($G$3:$G$62=J44)+($H$3:$H$62=J44)+($I$3:$I$62=J44)+($J$3:$J$62=J44))&gt;0))&gt;0),COUNTIFS('Work Activity'!$C$3:$C$89,$A44,'Work Activity'!$G$3:$G$89,J44,'Work Activity'!$A$3:$A$89,"&lt;&gt;"&amp;$D44)&gt;0),"YELLOW: "&amp;J44&amp;" punya deadline project lain pada tanggal yang sama. ",""))</f>
        <v/>
      </c>
      <c r="O44" t="str">
        <f t="shared" si="1"/>
        <v/>
      </c>
    </row>
    <row r="45" spans="1:15">
      <c r="A45" s="9"/>
      <c r="B45" s="12"/>
      <c r="C45" s="12"/>
      <c r="E45" t="str">
        <f>IFERROR(INDEX(Setup!$I$3:$I$17,MATCH($D45,Setup!$H$3:$H$17,0)),"")</f>
        <v/>
      </c>
      <c r="L45" t="str">
        <f>IF(OR(AND(G45&lt;&gt;"",SUMPRODUCT(($A$3:$A$62=$A45)*($B$3:$B$62&lt;$C45)*($C$3:$C$62&gt;$B45)*(ROW($A$3:$A$62)&lt;&gt;ROW())*((($G$3:$G$62=G45)+($H$3:$H$62=G45)+($I$3:$I$62=G45)+($J$3:$J$62=G45))&gt;0))&gt;0),AND(H45&lt;&gt;"",SUMPRODUCT(($A$3:$A$62=$A45)*($B$3:$B$62&lt;$C45)*($C$3:$C$62&gt;$B45)*(ROW($A$3:$A$62)&lt;&gt;ROW())*((($G$3:$G$62=H45)+($H$3:$H$62=H45)+($I$3:$I$62=H45)+($J$3:$J$62=H45))&gt;0))&gt;0),AND(I45&lt;&gt;"",SUMPRODUCT(($A$3:$A$62=$A45)*($B$3:$B$62&lt;$C45)*($C$3:$C$62&gt;$B45)*(ROW($A$3:$A$62)&lt;&gt;ROW())*((($G$3:$G$62=I45)+($H$3:$H$62=I45)+($I$3:$I$62=I45)+($J$3:$J$62=I45))&gt;0))&gt;0),AND(J45&lt;&gt;"",SUMPRODUCT(($A$3:$A$62=$A45)*($B$3:$B$62&lt;$C45)*($C$3:$C$62&gt;$B45)*(ROW($A$3:$A$62)&lt;&gt;ROW())*((($G$3:$G$62=J45)+($H$3:$H$62=J45)+($I$3:$I$62=J45)+($J$3:$J$62=J45))&gt;0))&gt;0)),"RED - MEETING CLASH",IF(OR(AND(G45&lt;&gt;"",COUNTIFS('Work Activity'!$C$3:$C$89,$A45,'Work Activity'!$G$3:$G$89,G45,'Work Activity'!$A$3:$A$89,"&lt;&gt;"&amp;$D45)&gt;0),AND(H45&lt;&gt;"",COUNTIFS('Work Activity'!$C$3:$C$89,$A45,'Work Activity'!$G$3:$G$89,H45,'Work Activity'!$A$3:$A$89,"&lt;&gt;"&amp;$D45)&gt;0),AND(I45&lt;&gt;"",COUNTIFS('Work Activity'!$C$3:$C$89,$A45,'Work Activity'!$G$3:$G$89,I45,'Work Activity'!$A$3:$A$89,"&lt;&gt;"&amp;$D45)&gt;0),AND(J45&lt;&gt;"",COUNTIFS('Work Activity'!$C$3:$C$89,$A45,'Work Activity'!$G$3:$G$89,J45,'Work Activity'!$A$3:$A$89,"&lt;&gt;"&amp;$D45)&gt;0)),"YELLOW - DEADLINE CHECK","CLEAR"))</f>
        <v>CLEAR</v>
      </c>
      <c r="M45" t="str">
        <f>TRIM(IF(AND(G45&lt;&gt;"",SUMPRODUCT(($A$3:$A$62=$A45)*($B$3:$B$62&lt;$C45)*($C$3:$C$62&gt;$B45)*(ROW($A$3:$A$62)&lt;&gt;ROW())*((($G$3:$G$62=G45)+($H$3:$H$62=G45)+($I$3:$I$62=G45)+($J$3:$J$62=G45))&gt;0))&gt;0),"RED: "&amp;G45&amp;" bentrok meeting. ","")&amp;IF(AND(G45&lt;&gt;"",NOT(SUMPRODUCT(($A$3:$A$62=$A45)*($B$3:$B$62&lt;$C45)*($C$3:$C$62&gt;$B45)*(ROW($A$3:$A$62)&lt;&gt;ROW())*((($G$3:$G$62=G45)+($H$3:$H$62=G45)+($I$3:$I$62=G45)+($J$3:$J$62=G45))&gt;0))&gt;0),COUNTIFS('Work Activity'!$C$3:$C$89,$A45,'Work Activity'!$G$3:$G$89,G45,'Work Activity'!$A$3:$A$89,"&lt;&gt;"&amp;$D45)&gt;0),"YELLOW: "&amp;G45&amp;" punya deadline project lain pada tanggal yang sama. ","")&amp;IF(AND(H45&lt;&gt;"",SUMPRODUCT(($A$3:$A$62=$A45)*($B$3:$B$62&lt;$C45)*($C$3:$C$62&gt;$B45)*(ROW($A$3:$A$62)&lt;&gt;ROW())*((($G$3:$G$62=H45)+($H$3:$H$62=H45)+($I$3:$I$62=H45)+($J$3:$J$62=H45))&gt;0))&gt;0),"RED: "&amp;H45&amp;" bentrok meeting. ","")&amp;IF(AND(H45&lt;&gt;"",NOT(SUMPRODUCT(($A$3:$A$62=$A45)*($B$3:$B$62&lt;$C45)*($C$3:$C$62&gt;$B45)*(ROW($A$3:$A$62)&lt;&gt;ROW())*((($G$3:$G$62=H45)+($H$3:$H$62=H45)+($I$3:$I$62=H45)+($J$3:$J$62=H45))&gt;0))&gt;0),COUNTIFS('Work Activity'!$C$3:$C$89,$A45,'Work Activity'!$G$3:$G$89,H45,'Work Activity'!$A$3:$A$89,"&lt;&gt;"&amp;$D45)&gt;0),"YELLOW: "&amp;H45&amp;" punya deadline project lain pada tanggal yang sama. ","")&amp;IF(AND(I45&lt;&gt;"",SUMPRODUCT(($A$3:$A$62=$A45)*($B$3:$B$62&lt;$C45)*($C$3:$C$62&gt;$B45)*(ROW($A$3:$A$62)&lt;&gt;ROW())*((($G$3:$G$62=I45)+($H$3:$H$62=I45)+($I$3:$I$62=I45)+($J$3:$J$62=I45))&gt;0))&gt;0),"RED: "&amp;I45&amp;" bentrok meeting. ","")&amp;IF(AND(I45&lt;&gt;"",NOT(SUMPRODUCT(($A$3:$A$62=$A45)*($B$3:$B$62&lt;$C45)*($C$3:$C$62&gt;$B45)*(ROW($A$3:$A$62)&lt;&gt;ROW())*((($G$3:$G$62=I45)+($H$3:$H$62=I45)+($I$3:$I$62=I45)+($J$3:$J$62=I45))&gt;0))&gt;0),COUNTIFS('Work Activity'!$C$3:$C$89,$A45,'Work Activity'!$G$3:$G$89,I45,'Work Activity'!$A$3:$A$89,"&lt;&gt;"&amp;$D45)&gt;0),"YELLOW: "&amp;I45&amp;" punya deadline project lain pada tanggal yang sama. ","")&amp;IF(AND(J45&lt;&gt;"",SUMPRODUCT(($A$3:$A$62=$A45)*($B$3:$B$62&lt;$C45)*($C$3:$C$62&gt;$B45)*(ROW($A$3:$A$62)&lt;&gt;ROW())*((($G$3:$G$62=J45)+($H$3:$H$62=J45)+($I$3:$I$62=J45)+($J$3:$J$62=J45))&gt;0))&gt;0),"RED: "&amp;J45&amp;" bentrok meeting. ","")&amp;IF(AND(J45&lt;&gt;"",NOT(SUMPRODUCT(($A$3:$A$62=$A45)*($B$3:$B$62&lt;$C45)*($C$3:$C$62&gt;$B45)*(ROW($A$3:$A$62)&lt;&gt;ROW())*((($G$3:$G$62=J45)+($H$3:$H$62=J45)+($I$3:$I$62=J45)+($J$3:$J$62=J45))&gt;0))&gt;0),COUNTIFS('Work Activity'!$C$3:$C$89,$A45,'Work Activity'!$G$3:$G$89,J45,'Work Activity'!$A$3:$A$89,"&lt;&gt;"&amp;$D45)&gt;0),"YELLOW: "&amp;J45&amp;" punya deadline project lain pada tanggal yang sama. ",""))</f>
        <v/>
      </c>
      <c r="O45" t="str">
        <f t="shared" si="1"/>
        <v/>
      </c>
    </row>
    <row r="46" spans="1:15">
      <c r="A46" s="9"/>
      <c r="B46" s="12"/>
      <c r="C46" s="12"/>
      <c r="E46" t="str">
        <f>IFERROR(INDEX(Setup!$I$3:$I$17,MATCH($D46,Setup!$H$3:$H$17,0)),"")</f>
        <v/>
      </c>
      <c r="L46" t="str">
        <f>IF(OR(AND(G46&lt;&gt;"",SUMPRODUCT(($A$3:$A$62=$A46)*($B$3:$B$62&lt;$C46)*($C$3:$C$62&gt;$B46)*(ROW($A$3:$A$62)&lt;&gt;ROW())*((($G$3:$G$62=G46)+($H$3:$H$62=G46)+($I$3:$I$62=G46)+($J$3:$J$62=G46))&gt;0))&gt;0),AND(H46&lt;&gt;"",SUMPRODUCT(($A$3:$A$62=$A46)*($B$3:$B$62&lt;$C46)*($C$3:$C$62&gt;$B46)*(ROW($A$3:$A$62)&lt;&gt;ROW())*((($G$3:$G$62=H46)+($H$3:$H$62=H46)+($I$3:$I$62=H46)+($J$3:$J$62=H46))&gt;0))&gt;0),AND(I46&lt;&gt;"",SUMPRODUCT(($A$3:$A$62=$A46)*($B$3:$B$62&lt;$C46)*($C$3:$C$62&gt;$B46)*(ROW($A$3:$A$62)&lt;&gt;ROW())*((($G$3:$G$62=I46)+($H$3:$H$62=I46)+($I$3:$I$62=I46)+($J$3:$J$62=I46))&gt;0))&gt;0),AND(J46&lt;&gt;"",SUMPRODUCT(($A$3:$A$62=$A46)*($B$3:$B$62&lt;$C46)*($C$3:$C$62&gt;$B46)*(ROW($A$3:$A$62)&lt;&gt;ROW())*((($G$3:$G$62=J46)+($H$3:$H$62=J46)+($I$3:$I$62=J46)+($J$3:$J$62=J46))&gt;0))&gt;0)),"RED - MEETING CLASH",IF(OR(AND(G46&lt;&gt;"",COUNTIFS('Work Activity'!$C$3:$C$89,$A46,'Work Activity'!$G$3:$G$89,G46,'Work Activity'!$A$3:$A$89,"&lt;&gt;"&amp;$D46)&gt;0),AND(H46&lt;&gt;"",COUNTIFS('Work Activity'!$C$3:$C$89,$A46,'Work Activity'!$G$3:$G$89,H46,'Work Activity'!$A$3:$A$89,"&lt;&gt;"&amp;$D46)&gt;0),AND(I46&lt;&gt;"",COUNTIFS('Work Activity'!$C$3:$C$89,$A46,'Work Activity'!$G$3:$G$89,I46,'Work Activity'!$A$3:$A$89,"&lt;&gt;"&amp;$D46)&gt;0),AND(J46&lt;&gt;"",COUNTIFS('Work Activity'!$C$3:$C$89,$A46,'Work Activity'!$G$3:$G$89,J46,'Work Activity'!$A$3:$A$89,"&lt;&gt;"&amp;$D46)&gt;0)),"YELLOW - DEADLINE CHECK","CLEAR"))</f>
        <v>CLEAR</v>
      </c>
      <c r="M46" t="str">
        <f>TRIM(IF(AND(G46&lt;&gt;"",SUMPRODUCT(($A$3:$A$62=$A46)*($B$3:$B$62&lt;$C46)*($C$3:$C$62&gt;$B46)*(ROW($A$3:$A$62)&lt;&gt;ROW())*((($G$3:$G$62=G46)+($H$3:$H$62=G46)+($I$3:$I$62=G46)+($J$3:$J$62=G46))&gt;0))&gt;0),"RED: "&amp;G46&amp;" bentrok meeting. ","")&amp;IF(AND(G46&lt;&gt;"",NOT(SUMPRODUCT(($A$3:$A$62=$A46)*($B$3:$B$62&lt;$C46)*($C$3:$C$62&gt;$B46)*(ROW($A$3:$A$62)&lt;&gt;ROW())*((($G$3:$G$62=G46)+($H$3:$H$62=G46)+($I$3:$I$62=G46)+($J$3:$J$62=G46))&gt;0))&gt;0),COUNTIFS('Work Activity'!$C$3:$C$89,$A46,'Work Activity'!$G$3:$G$89,G46,'Work Activity'!$A$3:$A$89,"&lt;&gt;"&amp;$D46)&gt;0),"YELLOW: "&amp;G46&amp;" punya deadline project lain pada tanggal yang sama. ","")&amp;IF(AND(H46&lt;&gt;"",SUMPRODUCT(($A$3:$A$62=$A46)*($B$3:$B$62&lt;$C46)*($C$3:$C$62&gt;$B46)*(ROW($A$3:$A$62)&lt;&gt;ROW())*((($G$3:$G$62=H46)+($H$3:$H$62=H46)+($I$3:$I$62=H46)+($J$3:$J$62=H46))&gt;0))&gt;0),"RED: "&amp;H46&amp;" bentrok meeting. ","")&amp;IF(AND(H46&lt;&gt;"",NOT(SUMPRODUCT(($A$3:$A$62=$A46)*($B$3:$B$62&lt;$C46)*($C$3:$C$62&gt;$B46)*(ROW($A$3:$A$62)&lt;&gt;ROW())*((($G$3:$G$62=H46)+($H$3:$H$62=H46)+($I$3:$I$62=H46)+($J$3:$J$62=H46))&gt;0))&gt;0),COUNTIFS('Work Activity'!$C$3:$C$89,$A46,'Work Activity'!$G$3:$G$89,H46,'Work Activity'!$A$3:$A$89,"&lt;&gt;"&amp;$D46)&gt;0),"YELLOW: "&amp;H46&amp;" punya deadline project lain pada tanggal yang sama. ","")&amp;IF(AND(I46&lt;&gt;"",SUMPRODUCT(($A$3:$A$62=$A46)*($B$3:$B$62&lt;$C46)*($C$3:$C$62&gt;$B46)*(ROW($A$3:$A$62)&lt;&gt;ROW())*((($G$3:$G$62=I46)+($H$3:$H$62=I46)+($I$3:$I$62=I46)+($J$3:$J$62=I46))&gt;0))&gt;0),"RED: "&amp;I46&amp;" bentrok meeting. ","")&amp;IF(AND(I46&lt;&gt;"",NOT(SUMPRODUCT(($A$3:$A$62=$A46)*($B$3:$B$62&lt;$C46)*($C$3:$C$62&gt;$B46)*(ROW($A$3:$A$62)&lt;&gt;ROW())*((($G$3:$G$62=I46)+($H$3:$H$62=I46)+($I$3:$I$62=I46)+($J$3:$J$62=I46))&gt;0))&gt;0),COUNTIFS('Work Activity'!$C$3:$C$89,$A46,'Work Activity'!$G$3:$G$89,I46,'Work Activity'!$A$3:$A$89,"&lt;&gt;"&amp;$D46)&gt;0),"YELLOW: "&amp;I46&amp;" punya deadline project lain pada tanggal yang sama. ","")&amp;IF(AND(J46&lt;&gt;"",SUMPRODUCT(($A$3:$A$62=$A46)*($B$3:$B$62&lt;$C46)*($C$3:$C$62&gt;$B46)*(ROW($A$3:$A$62)&lt;&gt;ROW())*((($G$3:$G$62=J46)+($H$3:$H$62=J46)+($I$3:$I$62=J46)+($J$3:$J$62=J46))&gt;0))&gt;0),"RED: "&amp;J46&amp;" bentrok meeting. ","")&amp;IF(AND(J46&lt;&gt;"",NOT(SUMPRODUCT(($A$3:$A$62=$A46)*($B$3:$B$62&lt;$C46)*($C$3:$C$62&gt;$B46)*(ROW($A$3:$A$62)&lt;&gt;ROW())*((($G$3:$G$62=J46)+($H$3:$H$62=J46)+($I$3:$I$62=J46)+($J$3:$J$62=J46))&gt;0))&gt;0),COUNTIFS('Work Activity'!$C$3:$C$89,$A46,'Work Activity'!$G$3:$G$89,J46,'Work Activity'!$A$3:$A$89,"&lt;&gt;"&amp;$D46)&gt;0),"YELLOW: "&amp;J46&amp;" punya deadline project lain pada tanggal yang sama. ",""))</f>
        <v/>
      </c>
      <c r="O46" t="str">
        <f t="shared" si="1"/>
        <v/>
      </c>
    </row>
    <row r="47" spans="1:15">
      <c r="A47" s="9"/>
      <c r="B47" s="12"/>
      <c r="C47" s="12"/>
      <c r="E47" t="str">
        <f>IFERROR(INDEX(Setup!$I$3:$I$17,MATCH($D47,Setup!$H$3:$H$17,0)),"")</f>
        <v/>
      </c>
      <c r="L47" t="str">
        <f>IF(OR(AND(G47&lt;&gt;"",SUMPRODUCT(($A$3:$A$62=$A47)*($B$3:$B$62&lt;$C47)*($C$3:$C$62&gt;$B47)*(ROW($A$3:$A$62)&lt;&gt;ROW())*((($G$3:$G$62=G47)+($H$3:$H$62=G47)+($I$3:$I$62=G47)+($J$3:$J$62=G47))&gt;0))&gt;0),AND(H47&lt;&gt;"",SUMPRODUCT(($A$3:$A$62=$A47)*($B$3:$B$62&lt;$C47)*($C$3:$C$62&gt;$B47)*(ROW($A$3:$A$62)&lt;&gt;ROW())*((($G$3:$G$62=H47)+($H$3:$H$62=H47)+($I$3:$I$62=H47)+($J$3:$J$62=H47))&gt;0))&gt;0),AND(I47&lt;&gt;"",SUMPRODUCT(($A$3:$A$62=$A47)*($B$3:$B$62&lt;$C47)*($C$3:$C$62&gt;$B47)*(ROW($A$3:$A$62)&lt;&gt;ROW())*((($G$3:$G$62=I47)+($H$3:$H$62=I47)+($I$3:$I$62=I47)+($J$3:$J$62=I47))&gt;0))&gt;0),AND(J47&lt;&gt;"",SUMPRODUCT(($A$3:$A$62=$A47)*($B$3:$B$62&lt;$C47)*($C$3:$C$62&gt;$B47)*(ROW($A$3:$A$62)&lt;&gt;ROW())*((($G$3:$G$62=J47)+($H$3:$H$62=J47)+($I$3:$I$62=J47)+($J$3:$J$62=J47))&gt;0))&gt;0)),"RED - MEETING CLASH",IF(OR(AND(G47&lt;&gt;"",COUNTIFS('Work Activity'!$C$3:$C$89,$A47,'Work Activity'!$G$3:$G$89,G47,'Work Activity'!$A$3:$A$89,"&lt;&gt;"&amp;$D47)&gt;0),AND(H47&lt;&gt;"",COUNTIFS('Work Activity'!$C$3:$C$89,$A47,'Work Activity'!$G$3:$G$89,H47,'Work Activity'!$A$3:$A$89,"&lt;&gt;"&amp;$D47)&gt;0),AND(I47&lt;&gt;"",COUNTIFS('Work Activity'!$C$3:$C$89,$A47,'Work Activity'!$G$3:$G$89,I47,'Work Activity'!$A$3:$A$89,"&lt;&gt;"&amp;$D47)&gt;0),AND(J47&lt;&gt;"",COUNTIFS('Work Activity'!$C$3:$C$89,$A47,'Work Activity'!$G$3:$G$89,J47,'Work Activity'!$A$3:$A$89,"&lt;&gt;"&amp;$D47)&gt;0)),"YELLOW - DEADLINE CHECK","CLEAR"))</f>
        <v>CLEAR</v>
      </c>
      <c r="M47" t="str">
        <f>TRIM(IF(AND(G47&lt;&gt;"",SUMPRODUCT(($A$3:$A$62=$A47)*($B$3:$B$62&lt;$C47)*($C$3:$C$62&gt;$B47)*(ROW($A$3:$A$62)&lt;&gt;ROW())*((($G$3:$G$62=G47)+($H$3:$H$62=G47)+($I$3:$I$62=G47)+($J$3:$J$62=G47))&gt;0))&gt;0),"RED: "&amp;G47&amp;" bentrok meeting. ","")&amp;IF(AND(G47&lt;&gt;"",NOT(SUMPRODUCT(($A$3:$A$62=$A47)*($B$3:$B$62&lt;$C47)*($C$3:$C$62&gt;$B47)*(ROW($A$3:$A$62)&lt;&gt;ROW())*((($G$3:$G$62=G47)+($H$3:$H$62=G47)+($I$3:$I$62=G47)+($J$3:$J$62=G47))&gt;0))&gt;0),COUNTIFS('Work Activity'!$C$3:$C$89,$A47,'Work Activity'!$G$3:$G$89,G47,'Work Activity'!$A$3:$A$89,"&lt;&gt;"&amp;$D47)&gt;0),"YELLOW: "&amp;G47&amp;" punya deadline project lain pada tanggal yang sama. ","")&amp;IF(AND(H47&lt;&gt;"",SUMPRODUCT(($A$3:$A$62=$A47)*($B$3:$B$62&lt;$C47)*($C$3:$C$62&gt;$B47)*(ROW($A$3:$A$62)&lt;&gt;ROW())*((($G$3:$G$62=H47)+($H$3:$H$62=H47)+($I$3:$I$62=H47)+($J$3:$J$62=H47))&gt;0))&gt;0),"RED: "&amp;H47&amp;" bentrok meeting. ","")&amp;IF(AND(H47&lt;&gt;"",NOT(SUMPRODUCT(($A$3:$A$62=$A47)*($B$3:$B$62&lt;$C47)*($C$3:$C$62&gt;$B47)*(ROW($A$3:$A$62)&lt;&gt;ROW())*((($G$3:$G$62=H47)+($H$3:$H$62=H47)+($I$3:$I$62=H47)+($J$3:$J$62=H47))&gt;0))&gt;0),COUNTIFS('Work Activity'!$C$3:$C$89,$A47,'Work Activity'!$G$3:$G$89,H47,'Work Activity'!$A$3:$A$89,"&lt;&gt;"&amp;$D47)&gt;0),"YELLOW: "&amp;H47&amp;" punya deadline project lain pada tanggal yang sama. ","")&amp;IF(AND(I47&lt;&gt;"",SUMPRODUCT(($A$3:$A$62=$A47)*($B$3:$B$62&lt;$C47)*($C$3:$C$62&gt;$B47)*(ROW($A$3:$A$62)&lt;&gt;ROW())*((($G$3:$G$62=I47)+($H$3:$H$62=I47)+($I$3:$I$62=I47)+($J$3:$J$62=I47))&gt;0))&gt;0),"RED: "&amp;I47&amp;" bentrok meeting. ","")&amp;IF(AND(I47&lt;&gt;"",NOT(SUMPRODUCT(($A$3:$A$62=$A47)*($B$3:$B$62&lt;$C47)*($C$3:$C$62&gt;$B47)*(ROW($A$3:$A$62)&lt;&gt;ROW())*((($G$3:$G$62=I47)+($H$3:$H$62=I47)+($I$3:$I$62=I47)+($J$3:$J$62=I47))&gt;0))&gt;0),COUNTIFS('Work Activity'!$C$3:$C$89,$A47,'Work Activity'!$G$3:$G$89,I47,'Work Activity'!$A$3:$A$89,"&lt;&gt;"&amp;$D47)&gt;0),"YELLOW: "&amp;I47&amp;" punya deadline project lain pada tanggal yang sama. ","")&amp;IF(AND(J47&lt;&gt;"",SUMPRODUCT(($A$3:$A$62=$A47)*($B$3:$B$62&lt;$C47)*($C$3:$C$62&gt;$B47)*(ROW($A$3:$A$62)&lt;&gt;ROW())*((($G$3:$G$62=J47)+($H$3:$H$62=J47)+($I$3:$I$62=J47)+($J$3:$J$62=J47))&gt;0))&gt;0),"RED: "&amp;J47&amp;" bentrok meeting. ","")&amp;IF(AND(J47&lt;&gt;"",NOT(SUMPRODUCT(($A$3:$A$62=$A47)*($B$3:$B$62&lt;$C47)*($C$3:$C$62&gt;$B47)*(ROW($A$3:$A$62)&lt;&gt;ROW())*((($G$3:$G$62=J47)+($H$3:$H$62=J47)+($I$3:$I$62=J47)+($J$3:$J$62=J47))&gt;0))&gt;0),COUNTIFS('Work Activity'!$C$3:$C$89,$A47,'Work Activity'!$G$3:$G$89,J47,'Work Activity'!$A$3:$A$89,"&lt;&gt;"&amp;$D47)&gt;0),"YELLOW: "&amp;J47&amp;" punya deadline project lain pada tanggal yang sama. ",""))</f>
        <v/>
      </c>
      <c r="O47" t="str">
        <f t="shared" si="1"/>
        <v/>
      </c>
    </row>
    <row r="48" spans="1:15">
      <c r="A48" s="9"/>
      <c r="B48" s="12"/>
      <c r="C48" s="12"/>
      <c r="E48" t="str">
        <f>IFERROR(INDEX(Setup!$I$3:$I$17,MATCH($D48,Setup!$H$3:$H$17,0)),"")</f>
        <v/>
      </c>
      <c r="L48" t="str">
        <f>IF(OR(AND(G48&lt;&gt;"",SUMPRODUCT(($A$3:$A$62=$A48)*($B$3:$B$62&lt;$C48)*($C$3:$C$62&gt;$B48)*(ROW($A$3:$A$62)&lt;&gt;ROW())*((($G$3:$G$62=G48)+($H$3:$H$62=G48)+($I$3:$I$62=G48)+($J$3:$J$62=G48))&gt;0))&gt;0),AND(H48&lt;&gt;"",SUMPRODUCT(($A$3:$A$62=$A48)*($B$3:$B$62&lt;$C48)*($C$3:$C$62&gt;$B48)*(ROW($A$3:$A$62)&lt;&gt;ROW())*((($G$3:$G$62=H48)+($H$3:$H$62=H48)+($I$3:$I$62=H48)+($J$3:$J$62=H48))&gt;0))&gt;0),AND(I48&lt;&gt;"",SUMPRODUCT(($A$3:$A$62=$A48)*($B$3:$B$62&lt;$C48)*($C$3:$C$62&gt;$B48)*(ROW($A$3:$A$62)&lt;&gt;ROW())*((($G$3:$G$62=I48)+($H$3:$H$62=I48)+($I$3:$I$62=I48)+($J$3:$J$62=I48))&gt;0))&gt;0),AND(J48&lt;&gt;"",SUMPRODUCT(($A$3:$A$62=$A48)*($B$3:$B$62&lt;$C48)*($C$3:$C$62&gt;$B48)*(ROW($A$3:$A$62)&lt;&gt;ROW())*((($G$3:$G$62=J48)+($H$3:$H$62=J48)+($I$3:$I$62=J48)+($J$3:$J$62=J48))&gt;0))&gt;0)),"RED - MEETING CLASH",IF(OR(AND(G48&lt;&gt;"",COUNTIFS('Work Activity'!$C$3:$C$89,$A48,'Work Activity'!$G$3:$G$89,G48,'Work Activity'!$A$3:$A$89,"&lt;&gt;"&amp;$D48)&gt;0),AND(H48&lt;&gt;"",COUNTIFS('Work Activity'!$C$3:$C$89,$A48,'Work Activity'!$G$3:$G$89,H48,'Work Activity'!$A$3:$A$89,"&lt;&gt;"&amp;$D48)&gt;0),AND(I48&lt;&gt;"",COUNTIFS('Work Activity'!$C$3:$C$89,$A48,'Work Activity'!$G$3:$G$89,I48,'Work Activity'!$A$3:$A$89,"&lt;&gt;"&amp;$D48)&gt;0),AND(J48&lt;&gt;"",COUNTIFS('Work Activity'!$C$3:$C$89,$A48,'Work Activity'!$G$3:$G$89,J48,'Work Activity'!$A$3:$A$89,"&lt;&gt;"&amp;$D48)&gt;0)),"YELLOW - DEADLINE CHECK","CLEAR"))</f>
        <v>CLEAR</v>
      </c>
      <c r="M48" t="str">
        <f>TRIM(IF(AND(G48&lt;&gt;"",SUMPRODUCT(($A$3:$A$62=$A48)*($B$3:$B$62&lt;$C48)*($C$3:$C$62&gt;$B48)*(ROW($A$3:$A$62)&lt;&gt;ROW())*((($G$3:$G$62=G48)+($H$3:$H$62=G48)+($I$3:$I$62=G48)+($J$3:$J$62=G48))&gt;0))&gt;0),"RED: "&amp;G48&amp;" bentrok meeting. ","")&amp;IF(AND(G48&lt;&gt;"",NOT(SUMPRODUCT(($A$3:$A$62=$A48)*($B$3:$B$62&lt;$C48)*($C$3:$C$62&gt;$B48)*(ROW($A$3:$A$62)&lt;&gt;ROW())*((($G$3:$G$62=G48)+($H$3:$H$62=G48)+($I$3:$I$62=G48)+($J$3:$J$62=G48))&gt;0))&gt;0),COUNTIFS('Work Activity'!$C$3:$C$89,$A48,'Work Activity'!$G$3:$G$89,G48,'Work Activity'!$A$3:$A$89,"&lt;&gt;"&amp;$D48)&gt;0),"YELLOW: "&amp;G48&amp;" punya deadline project lain pada tanggal yang sama. ","")&amp;IF(AND(H48&lt;&gt;"",SUMPRODUCT(($A$3:$A$62=$A48)*($B$3:$B$62&lt;$C48)*($C$3:$C$62&gt;$B48)*(ROW($A$3:$A$62)&lt;&gt;ROW())*((($G$3:$G$62=H48)+($H$3:$H$62=H48)+($I$3:$I$62=H48)+($J$3:$J$62=H48))&gt;0))&gt;0),"RED: "&amp;H48&amp;" bentrok meeting. ","")&amp;IF(AND(H48&lt;&gt;"",NOT(SUMPRODUCT(($A$3:$A$62=$A48)*($B$3:$B$62&lt;$C48)*($C$3:$C$62&gt;$B48)*(ROW($A$3:$A$62)&lt;&gt;ROW())*((($G$3:$G$62=H48)+($H$3:$H$62=H48)+($I$3:$I$62=H48)+($J$3:$J$62=H48))&gt;0))&gt;0),COUNTIFS('Work Activity'!$C$3:$C$89,$A48,'Work Activity'!$G$3:$G$89,H48,'Work Activity'!$A$3:$A$89,"&lt;&gt;"&amp;$D48)&gt;0),"YELLOW: "&amp;H48&amp;" punya deadline project lain pada tanggal yang sama. ","")&amp;IF(AND(I48&lt;&gt;"",SUMPRODUCT(($A$3:$A$62=$A48)*($B$3:$B$62&lt;$C48)*($C$3:$C$62&gt;$B48)*(ROW($A$3:$A$62)&lt;&gt;ROW())*((($G$3:$G$62=I48)+($H$3:$H$62=I48)+($I$3:$I$62=I48)+($J$3:$J$62=I48))&gt;0))&gt;0),"RED: "&amp;I48&amp;" bentrok meeting. ","")&amp;IF(AND(I48&lt;&gt;"",NOT(SUMPRODUCT(($A$3:$A$62=$A48)*($B$3:$B$62&lt;$C48)*($C$3:$C$62&gt;$B48)*(ROW($A$3:$A$62)&lt;&gt;ROW())*((($G$3:$G$62=I48)+($H$3:$H$62=I48)+($I$3:$I$62=I48)+($J$3:$J$62=I48))&gt;0))&gt;0),COUNTIFS('Work Activity'!$C$3:$C$89,$A48,'Work Activity'!$G$3:$G$89,I48,'Work Activity'!$A$3:$A$89,"&lt;&gt;"&amp;$D48)&gt;0),"YELLOW: "&amp;I48&amp;" punya deadline project lain pada tanggal yang sama. ","")&amp;IF(AND(J48&lt;&gt;"",SUMPRODUCT(($A$3:$A$62=$A48)*($B$3:$B$62&lt;$C48)*($C$3:$C$62&gt;$B48)*(ROW($A$3:$A$62)&lt;&gt;ROW())*((($G$3:$G$62=J48)+($H$3:$H$62=J48)+($I$3:$I$62=J48)+($J$3:$J$62=J48))&gt;0))&gt;0),"RED: "&amp;J48&amp;" bentrok meeting. ","")&amp;IF(AND(J48&lt;&gt;"",NOT(SUMPRODUCT(($A$3:$A$62=$A48)*($B$3:$B$62&lt;$C48)*($C$3:$C$62&gt;$B48)*(ROW($A$3:$A$62)&lt;&gt;ROW())*((($G$3:$G$62=J48)+($H$3:$H$62=J48)+($I$3:$I$62=J48)+($J$3:$J$62=J48))&gt;0))&gt;0),COUNTIFS('Work Activity'!$C$3:$C$89,$A48,'Work Activity'!$G$3:$G$89,J48,'Work Activity'!$A$3:$A$89,"&lt;&gt;"&amp;$D48)&gt;0),"YELLOW: "&amp;J48&amp;" punya deadline project lain pada tanggal yang sama. ",""))</f>
        <v/>
      </c>
      <c r="O48" t="str">
        <f t="shared" si="1"/>
        <v/>
      </c>
    </row>
    <row r="49" spans="1:15">
      <c r="A49" s="9"/>
      <c r="B49" s="12"/>
      <c r="C49" s="12"/>
      <c r="E49" t="str">
        <f>IFERROR(INDEX(Setup!$I$3:$I$17,MATCH($D49,Setup!$H$3:$H$17,0)),"")</f>
        <v/>
      </c>
      <c r="L49" t="str">
        <f>IF(OR(AND(G49&lt;&gt;"",SUMPRODUCT(($A$3:$A$62=$A49)*($B$3:$B$62&lt;$C49)*($C$3:$C$62&gt;$B49)*(ROW($A$3:$A$62)&lt;&gt;ROW())*((($G$3:$G$62=G49)+($H$3:$H$62=G49)+($I$3:$I$62=G49)+($J$3:$J$62=G49))&gt;0))&gt;0),AND(H49&lt;&gt;"",SUMPRODUCT(($A$3:$A$62=$A49)*($B$3:$B$62&lt;$C49)*($C$3:$C$62&gt;$B49)*(ROW($A$3:$A$62)&lt;&gt;ROW())*((($G$3:$G$62=H49)+($H$3:$H$62=H49)+($I$3:$I$62=H49)+($J$3:$J$62=H49))&gt;0))&gt;0),AND(I49&lt;&gt;"",SUMPRODUCT(($A$3:$A$62=$A49)*($B$3:$B$62&lt;$C49)*($C$3:$C$62&gt;$B49)*(ROW($A$3:$A$62)&lt;&gt;ROW())*((($G$3:$G$62=I49)+($H$3:$H$62=I49)+($I$3:$I$62=I49)+($J$3:$J$62=I49))&gt;0))&gt;0),AND(J49&lt;&gt;"",SUMPRODUCT(($A$3:$A$62=$A49)*($B$3:$B$62&lt;$C49)*($C$3:$C$62&gt;$B49)*(ROW($A$3:$A$62)&lt;&gt;ROW())*((($G$3:$G$62=J49)+($H$3:$H$62=J49)+($I$3:$I$62=J49)+($J$3:$J$62=J49))&gt;0))&gt;0)),"RED - MEETING CLASH",IF(OR(AND(G49&lt;&gt;"",COUNTIFS('Work Activity'!$C$3:$C$89,$A49,'Work Activity'!$G$3:$G$89,G49,'Work Activity'!$A$3:$A$89,"&lt;&gt;"&amp;$D49)&gt;0),AND(H49&lt;&gt;"",COUNTIFS('Work Activity'!$C$3:$C$89,$A49,'Work Activity'!$G$3:$G$89,H49,'Work Activity'!$A$3:$A$89,"&lt;&gt;"&amp;$D49)&gt;0),AND(I49&lt;&gt;"",COUNTIFS('Work Activity'!$C$3:$C$89,$A49,'Work Activity'!$G$3:$G$89,I49,'Work Activity'!$A$3:$A$89,"&lt;&gt;"&amp;$D49)&gt;0),AND(J49&lt;&gt;"",COUNTIFS('Work Activity'!$C$3:$C$89,$A49,'Work Activity'!$G$3:$G$89,J49,'Work Activity'!$A$3:$A$89,"&lt;&gt;"&amp;$D49)&gt;0)),"YELLOW - DEADLINE CHECK","CLEAR"))</f>
        <v>CLEAR</v>
      </c>
      <c r="M49" t="str">
        <f>TRIM(IF(AND(G49&lt;&gt;"",SUMPRODUCT(($A$3:$A$62=$A49)*($B$3:$B$62&lt;$C49)*($C$3:$C$62&gt;$B49)*(ROW($A$3:$A$62)&lt;&gt;ROW())*((($G$3:$G$62=G49)+($H$3:$H$62=G49)+($I$3:$I$62=G49)+($J$3:$J$62=G49))&gt;0))&gt;0),"RED: "&amp;G49&amp;" bentrok meeting. ","")&amp;IF(AND(G49&lt;&gt;"",NOT(SUMPRODUCT(($A$3:$A$62=$A49)*($B$3:$B$62&lt;$C49)*($C$3:$C$62&gt;$B49)*(ROW($A$3:$A$62)&lt;&gt;ROW())*((($G$3:$G$62=G49)+($H$3:$H$62=G49)+($I$3:$I$62=G49)+($J$3:$J$62=G49))&gt;0))&gt;0),COUNTIFS('Work Activity'!$C$3:$C$89,$A49,'Work Activity'!$G$3:$G$89,G49,'Work Activity'!$A$3:$A$89,"&lt;&gt;"&amp;$D49)&gt;0),"YELLOW: "&amp;G49&amp;" punya deadline project lain pada tanggal yang sama. ","")&amp;IF(AND(H49&lt;&gt;"",SUMPRODUCT(($A$3:$A$62=$A49)*($B$3:$B$62&lt;$C49)*($C$3:$C$62&gt;$B49)*(ROW($A$3:$A$62)&lt;&gt;ROW())*((($G$3:$G$62=H49)+($H$3:$H$62=H49)+($I$3:$I$62=H49)+($J$3:$J$62=H49))&gt;0))&gt;0),"RED: "&amp;H49&amp;" bentrok meeting. ","")&amp;IF(AND(H49&lt;&gt;"",NOT(SUMPRODUCT(($A$3:$A$62=$A49)*($B$3:$B$62&lt;$C49)*($C$3:$C$62&gt;$B49)*(ROW($A$3:$A$62)&lt;&gt;ROW())*((($G$3:$G$62=H49)+($H$3:$H$62=H49)+($I$3:$I$62=H49)+($J$3:$J$62=H49))&gt;0))&gt;0),COUNTIFS('Work Activity'!$C$3:$C$89,$A49,'Work Activity'!$G$3:$G$89,H49,'Work Activity'!$A$3:$A$89,"&lt;&gt;"&amp;$D49)&gt;0),"YELLOW: "&amp;H49&amp;" punya deadline project lain pada tanggal yang sama. ","")&amp;IF(AND(I49&lt;&gt;"",SUMPRODUCT(($A$3:$A$62=$A49)*($B$3:$B$62&lt;$C49)*($C$3:$C$62&gt;$B49)*(ROW($A$3:$A$62)&lt;&gt;ROW())*((($G$3:$G$62=I49)+($H$3:$H$62=I49)+($I$3:$I$62=I49)+($J$3:$J$62=I49))&gt;0))&gt;0),"RED: "&amp;I49&amp;" bentrok meeting. ","")&amp;IF(AND(I49&lt;&gt;"",NOT(SUMPRODUCT(($A$3:$A$62=$A49)*($B$3:$B$62&lt;$C49)*($C$3:$C$62&gt;$B49)*(ROW($A$3:$A$62)&lt;&gt;ROW())*((($G$3:$G$62=I49)+($H$3:$H$62=I49)+($I$3:$I$62=I49)+($J$3:$J$62=I49))&gt;0))&gt;0),COUNTIFS('Work Activity'!$C$3:$C$89,$A49,'Work Activity'!$G$3:$G$89,I49,'Work Activity'!$A$3:$A$89,"&lt;&gt;"&amp;$D49)&gt;0),"YELLOW: "&amp;I49&amp;" punya deadline project lain pada tanggal yang sama. ","")&amp;IF(AND(J49&lt;&gt;"",SUMPRODUCT(($A$3:$A$62=$A49)*($B$3:$B$62&lt;$C49)*($C$3:$C$62&gt;$B49)*(ROW($A$3:$A$62)&lt;&gt;ROW())*((($G$3:$G$62=J49)+($H$3:$H$62=J49)+($I$3:$I$62=J49)+($J$3:$J$62=J49))&gt;0))&gt;0),"RED: "&amp;J49&amp;" bentrok meeting. ","")&amp;IF(AND(J49&lt;&gt;"",NOT(SUMPRODUCT(($A$3:$A$62=$A49)*($B$3:$B$62&lt;$C49)*($C$3:$C$62&gt;$B49)*(ROW($A$3:$A$62)&lt;&gt;ROW())*((($G$3:$G$62=J49)+($H$3:$H$62=J49)+($I$3:$I$62=J49)+($J$3:$J$62=J49))&gt;0))&gt;0),COUNTIFS('Work Activity'!$C$3:$C$89,$A49,'Work Activity'!$G$3:$G$89,J49,'Work Activity'!$A$3:$A$89,"&lt;&gt;"&amp;$D49)&gt;0),"YELLOW: "&amp;J49&amp;" punya deadline project lain pada tanggal yang sama. ",""))</f>
        <v/>
      </c>
      <c r="O49" t="str">
        <f t="shared" si="1"/>
        <v/>
      </c>
    </row>
    <row r="50" spans="1:15">
      <c r="A50" s="9"/>
      <c r="B50" s="12"/>
      <c r="C50" s="12"/>
      <c r="E50" t="str">
        <f>IFERROR(INDEX(Setup!$I$3:$I$17,MATCH($D50,Setup!$H$3:$H$17,0)),"")</f>
        <v/>
      </c>
      <c r="L50" t="str">
        <f>IF(OR(AND(G50&lt;&gt;"",SUMPRODUCT(($A$3:$A$62=$A50)*($B$3:$B$62&lt;$C50)*($C$3:$C$62&gt;$B50)*(ROW($A$3:$A$62)&lt;&gt;ROW())*((($G$3:$G$62=G50)+($H$3:$H$62=G50)+($I$3:$I$62=G50)+($J$3:$J$62=G50))&gt;0))&gt;0),AND(H50&lt;&gt;"",SUMPRODUCT(($A$3:$A$62=$A50)*($B$3:$B$62&lt;$C50)*($C$3:$C$62&gt;$B50)*(ROW($A$3:$A$62)&lt;&gt;ROW())*((($G$3:$G$62=H50)+($H$3:$H$62=H50)+($I$3:$I$62=H50)+($J$3:$J$62=H50))&gt;0))&gt;0),AND(I50&lt;&gt;"",SUMPRODUCT(($A$3:$A$62=$A50)*($B$3:$B$62&lt;$C50)*($C$3:$C$62&gt;$B50)*(ROW($A$3:$A$62)&lt;&gt;ROW())*((($G$3:$G$62=I50)+($H$3:$H$62=I50)+($I$3:$I$62=I50)+($J$3:$J$62=I50))&gt;0))&gt;0),AND(J50&lt;&gt;"",SUMPRODUCT(($A$3:$A$62=$A50)*($B$3:$B$62&lt;$C50)*($C$3:$C$62&gt;$B50)*(ROW($A$3:$A$62)&lt;&gt;ROW())*((($G$3:$G$62=J50)+($H$3:$H$62=J50)+($I$3:$I$62=J50)+($J$3:$J$62=J50))&gt;0))&gt;0)),"RED - MEETING CLASH",IF(OR(AND(G50&lt;&gt;"",COUNTIFS('Work Activity'!$C$3:$C$89,$A50,'Work Activity'!$G$3:$G$89,G50,'Work Activity'!$A$3:$A$89,"&lt;&gt;"&amp;$D50)&gt;0),AND(H50&lt;&gt;"",COUNTIFS('Work Activity'!$C$3:$C$89,$A50,'Work Activity'!$G$3:$G$89,H50,'Work Activity'!$A$3:$A$89,"&lt;&gt;"&amp;$D50)&gt;0),AND(I50&lt;&gt;"",COUNTIFS('Work Activity'!$C$3:$C$89,$A50,'Work Activity'!$G$3:$G$89,I50,'Work Activity'!$A$3:$A$89,"&lt;&gt;"&amp;$D50)&gt;0),AND(J50&lt;&gt;"",COUNTIFS('Work Activity'!$C$3:$C$89,$A50,'Work Activity'!$G$3:$G$89,J50,'Work Activity'!$A$3:$A$89,"&lt;&gt;"&amp;$D50)&gt;0)),"YELLOW - DEADLINE CHECK","CLEAR"))</f>
        <v>CLEAR</v>
      </c>
      <c r="M50" t="str">
        <f>TRIM(IF(AND(G50&lt;&gt;"",SUMPRODUCT(($A$3:$A$62=$A50)*($B$3:$B$62&lt;$C50)*($C$3:$C$62&gt;$B50)*(ROW($A$3:$A$62)&lt;&gt;ROW())*((($G$3:$G$62=G50)+($H$3:$H$62=G50)+($I$3:$I$62=G50)+($J$3:$J$62=G50))&gt;0))&gt;0),"RED: "&amp;G50&amp;" bentrok meeting. ","")&amp;IF(AND(G50&lt;&gt;"",NOT(SUMPRODUCT(($A$3:$A$62=$A50)*($B$3:$B$62&lt;$C50)*($C$3:$C$62&gt;$B50)*(ROW($A$3:$A$62)&lt;&gt;ROW())*((($G$3:$G$62=G50)+($H$3:$H$62=G50)+($I$3:$I$62=G50)+($J$3:$J$62=G50))&gt;0))&gt;0),COUNTIFS('Work Activity'!$C$3:$C$89,$A50,'Work Activity'!$G$3:$G$89,G50,'Work Activity'!$A$3:$A$89,"&lt;&gt;"&amp;$D50)&gt;0),"YELLOW: "&amp;G50&amp;" punya deadline project lain pada tanggal yang sama. ","")&amp;IF(AND(H50&lt;&gt;"",SUMPRODUCT(($A$3:$A$62=$A50)*($B$3:$B$62&lt;$C50)*($C$3:$C$62&gt;$B50)*(ROW($A$3:$A$62)&lt;&gt;ROW())*((($G$3:$G$62=H50)+($H$3:$H$62=H50)+($I$3:$I$62=H50)+($J$3:$J$62=H50))&gt;0))&gt;0),"RED: "&amp;H50&amp;" bentrok meeting. ","")&amp;IF(AND(H50&lt;&gt;"",NOT(SUMPRODUCT(($A$3:$A$62=$A50)*($B$3:$B$62&lt;$C50)*($C$3:$C$62&gt;$B50)*(ROW($A$3:$A$62)&lt;&gt;ROW())*((($G$3:$G$62=H50)+($H$3:$H$62=H50)+($I$3:$I$62=H50)+($J$3:$J$62=H50))&gt;0))&gt;0),COUNTIFS('Work Activity'!$C$3:$C$89,$A50,'Work Activity'!$G$3:$G$89,H50,'Work Activity'!$A$3:$A$89,"&lt;&gt;"&amp;$D50)&gt;0),"YELLOW: "&amp;H50&amp;" punya deadline project lain pada tanggal yang sama. ","")&amp;IF(AND(I50&lt;&gt;"",SUMPRODUCT(($A$3:$A$62=$A50)*($B$3:$B$62&lt;$C50)*($C$3:$C$62&gt;$B50)*(ROW($A$3:$A$62)&lt;&gt;ROW())*((($G$3:$G$62=I50)+($H$3:$H$62=I50)+($I$3:$I$62=I50)+($J$3:$J$62=I50))&gt;0))&gt;0),"RED: "&amp;I50&amp;" bentrok meeting. ","")&amp;IF(AND(I50&lt;&gt;"",NOT(SUMPRODUCT(($A$3:$A$62=$A50)*($B$3:$B$62&lt;$C50)*($C$3:$C$62&gt;$B50)*(ROW($A$3:$A$62)&lt;&gt;ROW())*((($G$3:$G$62=I50)+($H$3:$H$62=I50)+($I$3:$I$62=I50)+($J$3:$J$62=I50))&gt;0))&gt;0),COUNTIFS('Work Activity'!$C$3:$C$89,$A50,'Work Activity'!$G$3:$G$89,I50,'Work Activity'!$A$3:$A$89,"&lt;&gt;"&amp;$D50)&gt;0),"YELLOW: "&amp;I50&amp;" punya deadline project lain pada tanggal yang sama. ","")&amp;IF(AND(J50&lt;&gt;"",SUMPRODUCT(($A$3:$A$62=$A50)*($B$3:$B$62&lt;$C50)*($C$3:$C$62&gt;$B50)*(ROW($A$3:$A$62)&lt;&gt;ROW())*((($G$3:$G$62=J50)+($H$3:$H$62=J50)+($I$3:$I$62=J50)+($J$3:$J$62=J50))&gt;0))&gt;0),"RED: "&amp;J50&amp;" bentrok meeting. ","")&amp;IF(AND(J50&lt;&gt;"",NOT(SUMPRODUCT(($A$3:$A$62=$A50)*($B$3:$B$62&lt;$C50)*($C$3:$C$62&gt;$B50)*(ROW($A$3:$A$62)&lt;&gt;ROW())*((($G$3:$G$62=J50)+($H$3:$H$62=J50)+($I$3:$I$62=J50)+($J$3:$J$62=J50))&gt;0))&gt;0),COUNTIFS('Work Activity'!$C$3:$C$89,$A50,'Work Activity'!$G$3:$G$89,J50,'Work Activity'!$A$3:$A$89,"&lt;&gt;"&amp;$D50)&gt;0),"YELLOW: "&amp;J50&amp;" punya deadline project lain pada tanggal yang sama. ",""))</f>
        <v/>
      </c>
      <c r="O50" t="str">
        <f t="shared" si="1"/>
        <v/>
      </c>
    </row>
    <row r="51" spans="1:15">
      <c r="A51" s="9"/>
      <c r="B51" s="12"/>
      <c r="C51" s="12"/>
      <c r="E51" t="str">
        <f>IFERROR(INDEX(Setup!$I$3:$I$17,MATCH($D51,Setup!$H$3:$H$17,0)),"")</f>
        <v/>
      </c>
      <c r="L51" t="str">
        <f>IF(OR(AND(G51&lt;&gt;"",SUMPRODUCT(($A$3:$A$62=$A51)*($B$3:$B$62&lt;$C51)*($C$3:$C$62&gt;$B51)*(ROW($A$3:$A$62)&lt;&gt;ROW())*((($G$3:$G$62=G51)+($H$3:$H$62=G51)+($I$3:$I$62=G51)+($J$3:$J$62=G51))&gt;0))&gt;0),AND(H51&lt;&gt;"",SUMPRODUCT(($A$3:$A$62=$A51)*($B$3:$B$62&lt;$C51)*($C$3:$C$62&gt;$B51)*(ROW($A$3:$A$62)&lt;&gt;ROW())*((($G$3:$G$62=H51)+($H$3:$H$62=H51)+($I$3:$I$62=H51)+($J$3:$J$62=H51))&gt;0))&gt;0),AND(I51&lt;&gt;"",SUMPRODUCT(($A$3:$A$62=$A51)*($B$3:$B$62&lt;$C51)*($C$3:$C$62&gt;$B51)*(ROW($A$3:$A$62)&lt;&gt;ROW())*((($G$3:$G$62=I51)+($H$3:$H$62=I51)+($I$3:$I$62=I51)+($J$3:$J$62=I51))&gt;0))&gt;0),AND(J51&lt;&gt;"",SUMPRODUCT(($A$3:$A$62=$A51)*($B$3:$B$62&lt;$C51)*($C$3:$C$62&gt;$B51)*(ROW($A$3:$A$62)&lt;&gt;ROW())*((($G$3:$G$62=J51)+($H$3:$H$62=J51)+($I$3:$I$62=J51)+($J$3:$J$62=J51))&gt;0))&gt;0)),"RED - MEETING CLASH",IF(OR(AND(G51&lt;&gt;"",COUNTIFS('Work Activity'!$C$3:$C$89,$A51,'Work Activity'!$G$3:$G$89,G51,'Work Activity'!$A$3:$A$89,"&lt;&gt;"&amp;$D51)&gt;0),AND(H51&lt;&gt;"",COUNTIFS('Work Activity'!$C$3:$C$89,$A51,'Work Activity'!$G$3:$G$89,H51,'Work Activity'!$A$3:$A$89,"&lt;&gt;"&amp;$D51)&gt;0),AND(I51&lt;&gt;"",COUNTIFS('Work Activity'!$C$3:$C$89,$A51,'Work Activity'!$G$3:$G$89,I51,'Work Activity'!$A$3:$A$89,"&lt;&gt;"&amp;$D51)&gt;0),AND(J51&lt;&gt;"",COUNTIFS('Work Activity'!$C$3:$C$89,$A51,'Work Activity'!$G$3:$G$89,J51,'Work Activity'!$A$3:$A$89,"&lt;&gt;"&amp;$D51)&gt;0)),"YELLOW - DEADLINE CHECK","CLEAR"))</f>
        <v>CLEAR</v>
      </c>
      <c r="M51" t="str">
        <f>TRIM(IF(AND(G51&lt;&gt;"",SUMPRODUCT(($A$3:$A$62=$A51)*($B$3:$B$62&lt;$C51)*($C$3:$C$62&gt;$B51)*(ROW($A$3:$A$62)&lt;&gt;ROW())*((($G$3:$G$62=G51)+($H$3:$H$62=G51)+($I$3:$I$62=G51)+($J$3:$J$62=G51))&gt;0))&gt;0),"RED: "&amp;G51&amp;" bentrok meeting. ","")&amp;IF(AND(G51&lt;&gt;"",NOT(SUMPRODUCT(($A$3:$A$62=$A51)*($B$3:$B$62&lt;$C51)*($C$3:$C$62&gt;$B51)*(ROW($A$3:$A$62)&lt;&gt;ROW())*((($G$3:$G$62=G51)+($H$3:$H$62=G51)+($I$3:$I$62=G51)+($J$3:$J$62=G51))&gt;0))&gt;0),COUNTIFS('Work Activity'!$C$3:$C$89,$A51,'Work Activity'!$G$3:$G$89,G51,'Work Activity'!$A$3:$A$89,"&lt;&gt;"&amp;$D51)&gt;0),"YELLOW: "&amp;G51&amp;" punya deadline project lain pada tanggal yang sama. ","")&amp;IF(AND(H51&lt;&gt;"",SUMPRODUCT(($A$3:$A$62=$A51)*($B$3:$B$62&lt;$C51)*($C$3:$C$62&gt;$B51)*(ROW($A$3:$A$62)&lt;&gt;ROW())*((($G$3:$G$62=H51)+($H$3:$H$62=H51)+($I$3:$I$62=H51)+($J$3:$J$62=H51))&gt;0))&gt;0),"RED: "&amp;H51&amp;" bentrok meeting. ","")&amp;IF(AND(H51&lt;&gt;"",NOT(SUMPRODUCT(($A$3:$A$62=$A51)*($B$3:$B$62&lt;$C51)*($C$3:$C$62&gt;$B51)*(ROW($A$3:$A$62)&lt;&gt;ROW())*((($G$3:$G$62=H51)+($H$3:$H$62=H51)+($I$3:$I$62=H51)+($J$3:$J$62=H51))&gt;0))&gt;0),COUNTIFS('Work Activity'!$C$3:$C$89,$A51,'Work Activity'!$G$3:$G$89,H51,'Work Activity'!$A$3:$A$89,"&lt;&gt;"&amp;$D51)&gt;0),"YELLOW: "&amp;H51&amp;" punya deadline project lain pada tanggal yang sama. ","")&amp;IF(AND(I51&lt;&gt;"",SUMPRODUCT(($A$3:$A$62=$A51)*($B$3:$B$62&lt;$C51)*($C$3:$C$62&gt;$B51)*(ROW($A$3:$A$62)&lt;&gt;ROW())*((($G$3:$G$62=I51)+($H$3:$H$62=I51)+($I$3:$I$62=I51)+($J$3:$J$62=I51))&gt;0))&gt;0),"RED: "&amp;I51&amp;" bentrok meeting. ","")&amp;IF(AND(I51&lt;&gt;"",NOT(SUMPRODUCT(($A$3:$A$62=$A51)*($B$3:$B$62&lt;$C51)*($C$3:$C$62&gt;$B51)*(ROW($A$3:$A$62)&lt;&gt;ROW())*((($G$3:$G$62=I51)+($H$3:$H$62=I51)+($I$3:$I$62=I51)+($J$3:$J$62=I51))&gt;0))&gt;0),COUNTIFS('Work Activity'!$C$3:$C$89,$A51,'Work Activity'!$G$3:$G$89,I51,'Work Activity'!$A$3:$A$89,"&lt;&gt;"&amp;$D51)&gt;0),"YELLOW: "&amp;I51&amp;" punya deadline project lain pada tanggal yang sama. ","")&amp;IF(AND(J51&lt;&gt;"",SUMPRODUCT(($A$3:$A$62=$A51)*($B$3:$B$62&lt;$C51)*($C$3:$C$62&gt;$B51)*(ROW($A$3:$A$62)&lt;&gt;ROW())*((($G$3:$G$62=J51)+($H$3:$H$62=J51)+($I$3:$I$62=J51)+($J$3:$J$62=J51))&gt;0))&gt;0),"RED: "&amp;J51&amp;" bentrok meeting. ","")&amp;IF(AND(J51&lt;&gt;"",NOT(SUMPRODUCT(($A$3:$A$62=$A51)*($B$3:$B$62&lt;$C51)*($C$3:$C$62&gt;$B51)*(ROW($A$3:$A$62)&lt;&gt;ROW())*((($G$3:$G$62=J51)+($H$3:$H$62=J51)+($I$3:$I$62=J51)+($J$3:$J$62=J51))&gt;0))&gt;0),COUNTIFS('Work Activity'!$C$3:$C$89,$A51,'Work Activity'!$G$3:$G$89,J51,'Work Activity'!$A$3:$A$89,"&lt;&gt;"&amp;$D51)&gt;0),"YELLOW: "&amp;J51&amp;" punya deadline project lain pada tanggal yang sama. ",""))</f>
        <v/>
      </c>
      <c r="O51" t="str">
        <f t="shared" si="1"/>
        <v/>
      </c>
    </row>
    <row r="52" spans="1:15">
      <c r="A52" s="9"/>
      <c r="B52" s="12"/>
      <c r="C52" s="12"/>
      <c r="E52" t="str">
        <f>IFERROR(INDEX(Setup!$I$3:$I$17,MATCH($D52,Setup!$H$3:$H$17,0)),"")</f>
        <v/>
      </c>
      <c r="L52" t="str">
        <f>IF(OR(AND(G52&lt;&gt;"",SUMPRODUCT(($A$3:$A$62=$A52)*($B$3:$B$62&lt;$C52)*($C$3:$C$62&gt;$B52)*(ROW($A$3:$A$62)&lt;&gt;ROW())*((($G$3:$G$62=G52)+($H$3:$H$62=G52)+($I$3:$I$62=G52)+($J$3:$J$62=G52))&gt;0))&gt;0),AND(H52&lt;&gt;"",SUMPRODUCT(($A$3:$A$62=$A52)*($B$3:$B$62&lt;$C52)*($C$3:$C$62&gt;$B52)*(ROW($A$3:$A$62)&lt;&gt;ROW())*((($G$3:$G$62=H52)+($H$3:$H$62=H52)+($I$3:$I$62=H52)+($J$3:$J$62=H52))&gt;0))&gt;0),AND(I52&lt;&gt;"",SUMPRODUCT(($A$3:$A$62=$A52)*($B$3:$B$62&lt;$C52)*($C$3:$C$62&gt;$B52)*(ROW($A$3:$A$62)&lt;&gt;ROW())*((($G$3:$G$62=I52)+($H$3:$H$62=I52)+($I$3:$I$62=I52)+($J$3:$J$62=I52))&gt;0))&gt;0),AND(J52&lt;&gt;"",SUMPRODUCT(($A$3:$A$62=$A52)*($B$3:$B$62&lt;$C52)*($C$3:$C$62&gt;$B52)*(ROW($A$3:$A$62)&lt;&gt;ROW())*((($G$3:$G$62=J52)+($H$3:$H$62=J52)+($I$3:$I$62=J52)+($J$3:$J$62=J52))&gt;0))&gt;0)),"RED - MEETING CLASH",IF(OR(AND(G52&lt;&gt;"",COUNTIFS('Work Activity'!$C$3:$C$89,$A52,'Work Activity'!$G$3:$G$89,G52,'Work Activity'!$A$3:$A$89,"&lt;&gt;"&amp;$D52)&gt;0),AND(H52&lt;&gt;"",COUNTIFS('Work Activity'!$C$3:$C$89,$A52,'Work Activity'!$G$3:$G$89,H52,'Work Activity'!$A$3:$A$89,"&lt;&gt;"&amp;$D52)&gt;0),AND(I52&lt;&gt;"",COUNTIFS('Work Activity'!$C$3:$C$89,$A52,'Work Activity'!$G$3:$G$89,I52,'Work Activity'!$A$3:$A$89,"&lt;&gt;"&amp;$D52)&gt;0),AND(J52&lt;&gt;"",COUNTIFS('Work Activity'!$C$3:$C$89,$A52,'Work Activity'!$G$3:$G$89,J52,'Work Activity'!$A$3:$A$89,"&lt;&gt;"&amp;$D52)&gt;0)),"YELLOW - DEADLINE CHECK","CLEAR"))</f>
        <v>CLEAR</v>
      </c>
      <c r="M52" t="str">
        <f>TRIM(IF(AND(G52&lt;&gt;"",SUMPRODUCT(($A$3:$A$62=$A52)*($B$3:$B$62&lt;$C52)*($C$3:$C$62&gt;$B52)*(ROW($A$3:$A$62)&lt;&gt;ROW())*((($G$3:$G$62=G52)+($H$3:$H$62=G52)+($I$3:$I$62=G52)+($J$3:$J$62=G52))&gt;0))&gt;0),"RED: "&amp;G52&amp;" bentrok meeting. ","")&amp;IF(AND(G52&lt;&gt;"",NOT(SUMPRODUCT(($A$3:$A$62=$A52)*($B$3:$B$62&lt;$C52)*($C$3:$C$62&gt;$B52)*(ROW($A$3:$A$62)&lt;&gt;ROW())*((($G$3:$G$62=G52)+($H$3:$H$62=G52)+($I$3:$I$62=G52)+($J$3:$J$62=G52))&gt;0))&gt;0),COUNTIFS('Work Activity'!$C$3:$C$89,$A52,'Work Activity'!$G$3:$G$89,G52,'Work Activity'!$A$3:$A$89,"&lt;&gt;"&amp;$D52)&gt;0),"YELLOW: "&amp;G52&amp;" punya deadline project lain pada tanggal yang sama. ","")&amp;IF(AND(H52&lt;&gt;"",SUMPRODUCT(($A$3:$A$62=$A52)*($B$3:$B$62&lt;$C52)*($C$3:$C$62&gt;$B52)*(ROW($A$3:$A$62)&lt;&gt;ROW())*((($G$3:$G$62=H52)+($H$3:$H$62=H52)+($I$3:$I$62=H52)+($J$3:$J$62=H52))&gt;0))&gt;0),"RED: "&amp;H52&amp;" bentrok meeting. ","")&amp;IF(AND(H52&lt;&gt;"",NOT(SUMPRODUCT(($A$3:$A$62=$A52)*($B$3:$B$62&lt;$C52)*($C$3:$C$62&gt;$B52)*(ROW($A$3:$A$62)&lt;&gt;ROW())*((($G$3:$G$62=H52)+($H$3:$H$62=H52)+($I$3:$I$62=H52)+($J$3:$J$62=H52))&gt;0))&gt;0),COUNTIFS('Work Activity'!$C$3:$C$89,$A52,'Work Activity'!$G$3:$G$89,H52,'Work Activity'!$A$3:$A$89,"&lt;&gt;"&amp;$D52)&gt;0),"YELLOW: "&amp;H52&amp;" punya deadline project lain pada tanggal yang sama. ","")&amp;IF(AND(I52&lt;&gt;"",SUMPRODUCT(($A$3:$A$62=$A52)*($B$3:$B$62&lt;$C52)*($C$3:$C$62&gt;$B52)*(ROW($A$3:$A$62)&lt;&gt;ROW())*((($G$3:$G$62=I52)+($H$3:$H$62=I52)+($I$3:$I$62=I52)+($J$3:$J$62=I52))&gt;0))&gt;0),"RED: "&amp;I52&amp;" bentrok meeting. ","")&amp;IF(AND(I52&lt;&gt;"",NOT(SUMPRODUCT(($A$3:$A$62=$A52)*($B$3:$B$62&lt;$C52)*($C$3:$C$62&gt;$B52)*(ROW($A$3:$A$62)&lt;&gt;ROW())*((($G$3:$G$62=I52)+($H$3:$H$62=I52)+($I$3:$I$62=I52)+($J$3:$J$62=I52))&gt;0))&gt;0),COUNTIFS('Work Activity'!$C$3:$C$89,$A52,'Work Activity'!$G$3:$G$89,I52,'Work Activity'!$A$3:$A$89,"&lt;&gt;"&amp;$D52)&gt;0),"YELLOW: "&amp;I52&amp;" punya deadline project lain pada tanggal yang sama. ","")&amp;IF(AND(J52&lt;&gt;"",SUMPRODUCT(($A$3:$A$62=$A52)*($B$3:$B$62&lt;$C52)*($C$3:$C$62&gt;$B52)*(ROW($A$3:$A$62)&lt;&gt;ROW())*((($G$3:$G$62=J52)+($H$3:$H$62=J52)+($I$3:$I$62=J52)+($J$3:$J$62=J52))&gt;0))&gt;0),"RED: "&amp;J52&amp;" bentrok meeting. ","")&amp;IF(AND(J52&lt;&gt;"",NOT(SUMPRODUCT(($A$3:$A$62=$A52)*($B$3:$B$62&lt;$C52)*($C$3:$C$62&gt;$B52)*(ROW($A$3:$A$62)&lt;&gt;ROW())*((($G$3:$G$62=J52)+($H$3:$H$62=J52)+($I$3:$I$62=J52)+($J$3:$J$62=J52))&gt;0))&gt;0),COUNTIFS('Work Activity'!$C$3:$C$89,$A52,'Work Activity'!$G$3:$G$89,J52,'Work Activity'!$A$3:$A$89,"&lt;&gt;"&amp;$D52)&gt;0),"YELLOW: "&amp;J52&amp;" punya deadline project lain pada tanggal yang sama. ",""))</f>
        <v/>
      </c>
      <c r="O52" t="str">
        <f t="shared" si="1"/>
        <v/>
      </c>
    </row>
    <row r="53" spans="1:15">
      <c r="A53" s="9"/>
      <c r="B53" s="12"/>
      <c r="C53" s="12"/>
      <c r="E53" t="str">
        <f>IFERROR(INDEX(Setup!$I$3:$I$17,MATCH($D53,Setup!$H$3:$H$17,0)),"")</f>
        <v/>
      </c>
      <c r="L53" t="str">
        <f>IF(OR(AND(G53&lt;&gt;"",SUMPRODUCT(($A$3:$A$62=$A53)*($B$3:$B$62&lt;$C53)*($C$3:$C$62&gt;$B53)*(ROW($A$3:$A$62)&lt;&gt;ROW())*((($G$3:$G$62=G53)+($H$3:$H$62=G53)+($I$3:$I$62=G53)+($J$3:$J$62=G53))&gt;0))&gt;0),AND(H53&lt;&gt;"",SUMPRODUCT(($A$3:$A$62=$A53)*($B$3:$B$62&lt;$C53)*($C$3:$C$62&gt;$B53)*(ROW($A$3:$A$62)&lt;&gt;ROW())*((($G$3:$G$62=H53)+($H$3:$H$62=H53)+($I$3:$I$62=H53)+($J$3:$J$62=H53))&gt;0))&gt;0),AND(I53&lt;&gt;"",SUMPRODUCT(($A$3:$A$62=$A53)*($B$3:$B$62&lt;$C53)*($C$3:$C$62&gt;$B53)*(ROW($A$3:$A$62)&lt;&gt;ROW())*((($G$3:$G$62=I53)+($H$3:$H$62=I53)+($I$3:$I$62=I53)+($J$3:$J$62=I53))&gt;0))&gt;0),AND(J53&lt;&gt;"",SUMPRODUCT(($A$3:$A$62=$A53)*($B$3:$B$62&lt;$C53)*($C$3:$C$62&gt;$B53)*(ROW($A$3:$A$62)&lt;&gt;ROW())*((($G$3:$G$62=J53)+($H$3:$H$62=J53)+($I$3:$I$62=J53)+($J$3:$J$62=J53))&gt;0))&gt;0)),"RED - MEETING CLASH",IF(OR(AND(G53&lt;&gt;"",COUNTIFS('Work Activity'!$C$3:$C$89,$A53,'Work Activity'!$G$3:$G$89,G53,'Work Activity'!$A$3:$A$89,"&lt;&gt;"&amp;$D53)&gt;0),AND(H53&lt;&gt;"",COUNTIFS('Work Activity'!$C$3:$C$89,$A53,'Work Activity'!$G$3:$G$89,H53,'Work Activity'!$A$3:$A$89,"&lt;&gt;"&amp;$D53)&gt;0),AND(I53&lt;&gt;"",COUNTIFS('Work Activity'!$C$3:$C$89,$A53,'Work Activity'!$G$3:$G$89,I53,'Work Activity'!$A$3:$A$89,"&lt;&gt;"&amp;$D53)&gt;0),AND(J53&lt;&gt;"",COUNTIFS('Work Activity'!$C$3:$C$89,$A53,'Work Activity'!$G$3:$G$89,J53,'Work Activity'!$A$3:$A$89,"&lt;&gt;"&amp;$D53)&gt;0)),"YELLOW - DEADLINE CHECK","CLEAR"))</f>
        <v>CLEAR</v>
      </c>
      <c r="M53" t="str">
        <f>TRIM(IF(AND(G53&lt;&gt;"",SUMPRODUCT(($A$3:$A$62=$A53)*($B$3:$B$62&lt;$C53)*($C$3:$C$62&gt;$B53)*(ROW($A$3:$A$62)&lt;&gt;ROW())*((($G$3:$G$62=G53)+($H$3:$H$62=G53)+($I$3:$I$62=G53)+($J$3:$J$62=G53))&gt;0))&gt;0),"RED: "&amp;G53&amp;" bentrok meeting. ","")&amp;IF(AND(G53&lt;&gt;"",NOT(SUMPRODUCT(($A$3:$A$62=$A53)*($B$3:$B$62&lt;$C53)*($C$3:$C$62&gt;$B53)*(ROW($A$3:$A$62)&lt;&gt;ROW())*((($G$3:$G$62=G53)+($H$3:$H$62=G53)+($I$3:$I$62=G53)+($J$3:$J$62=G53))&gt;0))&gt;0),COUNTIFS('Work Activity'!$C$3:$C$89,$A53,'Work Activity'!$G$3:$G$89,G53,'Work Activity'!$A$3:$A$89,"&lt;&gt;"&amp;$D53)&gt;0),"YELLOW: "&amp;G53&amp;" punya deadline project lain pada tanggal yang sama. ","")&amp;IF(AND(H53&lt;&gt;"",SUMPRODUCT(($A$3:$A$62=$A53)*($B$3:$B$62&lt;$C53)*($C$3:$C$62&gt;$B53)*(ROW($A$3:$A$62)&lt;&gt;ROW())*((($G$3:$G$62=H53)+($H$3:$H$62=H53)+($I$3:$I$62=H53)+($J$3:$J$62=H53))&gt;0))&gt;0),"RED: "&amp;H53&amp;" bentrok meeting. ","")&amp;IF(AND(H53&lt;&gt;"",NOT(SUMPRODUCT(($A$3:$A$62=$A53)*($B$3:$B$62&lt;$C53)*($C$3:$C$62&gt;$B53)*(ROW($A$3:$A$62)&lt;&gt;ROW())*((($G$3:$G$62=H53)+($H$3:$H$62=H53)+($I$3:$I$62=H53)+($J$3:$J$62=H53))&gt;0))&gt;0),COUNTIFS('Work Activity'!$C$3:$C$89,$A53,'Work Activity'!$G$3:$G$89,H53,'Work Activity'!$A$3:$A$89,"&lt;&gt;"&amp;$D53)&gt;0),"YELLOW: "&amp;H53&amp;" punya deadline project lain pada tanggal yang sama. ","")&amp;IF(AND(I53&lt;&gt;"",SUMPRODUCT(($A$3:$A$62=$A53)*($B$3:$B$62&lt;$C53)*($C$3:$C$62&gt;$B53)*(ROW($A$3:$A$62)&lt;&gt;ROW())*((($G$3:$G$62=I53)+($H$3:$H$62=I53)+($I$3:$I$62=I53)+($J$3:$J$62=I53))&gt;0))&gt;0),"RED: "&amp;I53&amp;" bentrok meeting. ","")&amp;IF(AND(I53&lt;&gt;"",NOT(SUMPRODUCT(($A$3:$A$62=$A53)*($B$3:$B$62&lt;$C53)*($C$3:$C$62&gt;$B53)*(ROW($A$3:$A$62)&lt;&gt;ROW())*((($G$3:$G$62=I53)+($H$3:$H$62=I53)+($I$3:$I$62=I53)+($J$3:$J$62=I53))&gt;0))&gt;0),COUNTIFS('Work Activity'!$C$3:$C$89,$A53,'Work Activity'!$G$3:$G$89,I53,'Work Activity'!$A$3:$A$89,"&lt;&gt;"&amp;$D53)&gt;0),"YELLOW: "&amp;I53&amp;" punya deadline project lain pada tanggal yang sama. ","")&amp;IF(AND(J53&lt;&gt;"",SUMPRODUCT(($A$3:$A$62=$A53)*($B$3:$B$62&lt;$C53)*($C$3:$C$62&gt;$B53)*(ROW($A$3:$A$62)&lt;&gt;ROW())*((($G$3:$G$62=J53)+($H$3:$H$62=J53)+($I$3:$I$62=J53)+($J$3:$J$62=J53))&gt;0))&gt;0),"RED: "&amp;J53&amp;" bentrok meeting. ","")&amp;IF(AND(J53&lt;&gt;"",NOT(SUMPRODUCT(($A$3:$A$62=$A53)*($B$3:$B$62&lt;$C53)*($C$3:$C$62&gt;$B53)*(ROW($A$3:$A$62)&lt;&gt;ROW())*((($G$3:$G$62=J53)+($H$3:$H$62=J53)+($I$3:$I$62=J53)+($J$3:$J$62=J53))&gt;0))&gt;0),COUNTIFS('Work Activity'!$C$3:$C$89,$A53,'Work Activity'!$G$3:$G$89,J53,'Work Activity'!$A$3:$A$89,"&lt;&gt;"&amp;$D53)&gt;0),"YELLOW: "&amp;J53&amp;" punya deadline project lain pada tanggal yang sama. ",""))</f>
        <v/>
      </c>
      <c r="O53" t="str">
        <f t="shared" si="1"/>
        <v/>
      </c>
    </row>
    <row r="54" spans="1:15">
      <c r="A54" s="9"/>
      <c r="B54" s="12"/>
      <c r="C54" s="12"/>
      <c r="E54" t="str">
        <f>IFERROR(INDEX(Setup!$I$3:$I$17,MATCH($D54,Setup!$H$3:$H$17,0)),"")</f>
        <v/>
      </c>
      <c r="L54" t="str">
        <f>IF(OR(AND(G54&lt;&gt;"",SUMPRODUCT(($A$3:$A$62=$A54)*($B$3:$B$62&lt;$C54)*($C$3:$C$62&gt;$B54)*(ROW($A$3:$A$62)&lt;&gt;ROW())*((($G$3:$G$62=G54)+($H$3:$H$62=G54)+($I$3:$I$62=G54)+($J$3:$J$62=G54))&gt;0))&gt;0),AND(H54&lt;&gt;"",SUMPRODUCT(($A$3:$A$62=$A54)*($B$3:$B$62&lt;$C54)*($C$3:$C$62&gt;$B54)*(ROW($A$3:$A$62)&lt;&gt;ROW())*((($G$3:$G$62=H54)+($H$3:$H$62=H54)+($I$3:$I$62=H54)+($J$3:$J$62=H54))&gt;0))&gt;0),AND(I54&lt;&gt;"",SUMPRODUCT(($A$3:$A$62=$A54)*($B$3:$B$62&lt;$C54)*($C$3:$C$62&gt;$B54)*(ROW($A$3:$A$62)&lt;&gt;ROW())*((($G$3:$G$62=I54)+($H$3:$H$62=I54)+($I$3:$I$62=I54)+($J$3:$J$62=I54))&gt;0))&gt;0),AND(J54&lt;&gt;"",SUMPRODUCT(($A$3:$A$62=$A54)*($B$3:$B$62&lt;$C54)*($C$3:$C$62&gt;$B54)*(ROW($A$3:$A$62)&lt;&gt;ROW())*((($G$3:$G$62=J54)+($H$3:$H$62=J54)+($I$3:$I$62=J54)+($J$3:$J$62=J54))&gt;0))&gt;0)),"RED - MEETING CLASH",IF(OR(AND(G54&lt;&gt;"",COUNTIFS('Work Activity'!$C$3:$C$89,$A54,'Work Activity'!$G$3:$G$89,G54,'Work Activity'!$A$3:$A$89,"&lt;&gt;"&amp;$D54)&gt;0),AND(H54&lt;&gt;"",COUNTIFS('Work Activity'!$C$3:$C$89,$A54,'Work Activity'!$G$3:$G$89,H54,'Work Activity'!$A$3:$A$89,"&lt;&gt;"&amp;$D54)&gt;0),AND(I54&lt;&gt;"",COUNTIFS('Work Activity'!$C$3:$C$89,$A54,'Work Activity'!$G$3:$G$89,I54,'Work Activity'!$A$3:$A$89,"&lt;&gt;"&amp;$D54)&gt;0),AND(J54&lt;&gt;"",COUNTIFS('Work Activity'!$C$3:$C$89,$A54,'Work Activity'!$G$3:$G$89,J54,'Work Activity'!$A$3:$A$89,"&lt;&gt;"&amp;$D54)&gt;0)),"YELLOW - DEADLINE CHECK","CLEAR"))</f>
        <v>CLEAR</v>
      </c>
      <c r="M54" t="str">
        <f>TRIM(IF(AND(G54&lt;&gt;"",SUMPRODUCT(($A$3:$A$62=$A54)*($B$3:$B$62&lt;$C54)*($C$3:$C$62&gt;$B54)*(ROW($A$3:$A$62)&lt;&gt;ROW())*((($G$3:$G$62=G54)+($H$3:$H$62=G54)+($I$3:$I$62=G54)+($J$3:$J$62=G54))&gt;0))&gt;0),"RED: "&amp;G54&amp;" bentrok meeting. ","")&amp;IF(AND(G54&lt;&gt;"",NOT(SUMPRODUCT(($A$3:$A$62=$A54)*($B$3:$B$62&lt;$C54)*($C$3:$C$62&gt;$B54)*(ROW($A$3:$A$62)&lt;&gt;ROW())*((($G$3:$G$62=G54)+($H$3:$H$62=G54)+($I$3:$I$62=G54)+($J$3:$J$62=G54))&gt;0))&gt;0),COUNTIFS('Work Activity'!$C$3:$C$89,$A54,'Work Activity'!$G$3:$G$89,G54,'Work Activity'!$A$3:$A$89,"&lt;&gt;"&amp;$D54)&gt;0),"YELLOW: "&amp;G54&amp;" punya deadline project lain pada tanggal yang sama. ","")&amp;IF(AND(H54&lt;&gt;"",SUMPRODUCT(($A$3:$A$62=$A54)*($B$3:$B$62&lt;$C54)*($C$3:$C$62&gt;$B54)*(ROW($A$3:$A$62)&lt;&gt;ROW())*((($G$3:$G$62=H54)+($H$3:$H$62=H54)+($I$3:$I$62=H54)+($J$3:$J$62=H54))&gt;0))&gt;0),"RED: "&amp;H54&amp;" bentrok meeting. ","")&amp;IF(AND(H54&lt;&gt;"",NOT(SUMPRODUCT(($A$3:$A$62=$A54)*($B$3:$B$62&lt;$C54)*($C$3:$C$62&gt;$B54)*(ROW($A$3:$A$62)&lt;&gt;ROW())*((($G$3:$G$62=H54)+($H$3:$H$62=H54)+($I$3:$I$62=H54)+($J$3:$J$62=H54))&gt;0))&gt;0),COUNTIFS('Work Activity'!$C$3:$C$89,$A54,'Work Activity'!$G$3:$G$89,H54,'Work Activity'!$A$3:$A$89,"&lt;&gt;"&amp;$D54)&gt;0),"YELLOW: "&amp;H54&amp;" punya deadline project lain pada tanggal yang sama. ","")&amp;IF(AND(I54&lt;&gt;"",SUMPRODUCT(($A$3:$A$62=$A54)*($B$3:$B$62&lt;$C54)*($C$3:$C$62&gt;$B54)*(ROW($A$3:$A$62)&lt;&gt;ROW())*((($G$3:$G$62=I54)+($H$3:$H$62=I54)+($I$3:$I$62=I54)+($J$3:$J$62=I54))&gt;0))&gt;0),"RED: "&amp;I54&amp;" bentrok meeting. ","")&amp;IF(AND(I54&lt;&gt;"",NOT(SUMPRODUCT(($A$3:$A$62=$A54)*($B$3:$B$62&lt;$C54)*($C$3:$C$62&gt;$B54)*(ROW($A$3:$A$62)&lt;&gt;ROW())*((($G$3:$G$62=I54)+($H$3:$H$62=I54)+($I$3:$I$62=I54)+($J$3:$J$62=I54))&gt;0))&gt;0),COUNTIFS('Work Activity'!$C$3:$C$89,$A54,'Work Activity'!$G$3:$G$89,I54,'Work Activity'!$A$3:$A$89,"&lt;&gt;"&amp;$D54)&gt;0),"YELLOW: "&amp;I54&amp;" punya deadline project lain pada tanggal yang sama. ","")&amp;IF(AND(J54&lt;&gt;"",SUMPRODUCT(($A$3:$A$62=$A54)*($B$3:$B$62&lt;$C54)*($C$3:$C$62&gt;$B54)*(ROW($A$3:$A$62)&lt;&gt;ROW())*((($G$3:$G$62=J54)+($H$3:$H$62=J54)+($I$3:$I$62=J54)+($J$3:$J$62=J54))&gt;0))&gt;0),"RED: "&amp;J54&amp;" bentrok meeting. ","")&amp;IF(AND(J54&lt;&gt;"",NOT(SUMPRODUCT(($A$3:$A$62=$A54)*($B$3:$B$62&lt;$C54)*($C$3:$C$62&gt;$B54)*(ROW($A$3:$A$62)&lt;&gt;ROW())*((($G$3:$G$62=J54)+($H$3:$H$62=J54)+($I$3:$I$62=J54)+($J$3:$J$62=J54))&gt;0))&gt;0),COUNTIFS('Work Activity'!$C$3:$C$89,$A54,'Work Activity'!$G$3:$G$89,J54,'Work Activity'!$A$3:$A$89,"&lt;&gt;"&amp;$D54)&gt;0),"YELLOW: "&amp;J54&amp;" punya deadline project lain pada tanggal yang sama. ",""))</f>
        <v/>
      </c>
      <c r="O54" t="str">
        <f t="shared" si="1"/>
        <v/>
      </c>
    </row>
    <row r="55" spans="1:15">
      <c r="A55" s="9"/>
      <c r="B55" s="12"/>
      <c r="C55" s="12"/>
      <c r="E55" t="str">
        <f>IFERROR(INDEX(Setup!$I$3:$I$17,MATCH($D55,Setup!$H$3:$H$17,0)),"")</f>
        <v/>
      </c>
      <c r="L55" t="str">
        <f>IF(OR(AND(G55&lt;&gt;"",SUMPRODUCT(($A$3:$A$62=$A55)*($B$3:$B$62&lt;$C55)*($C$3:$C$62&gt;$B55)*(ROW($A$3:$A$62)&lt;&gt;ROW())*((($G$3:$G$62=G55)+($H$3:$H$62=G55)+($I$3:$I$62=G55)+($J$3:$J$62=G55))&gt;0))&gt;0),AND(H55&lt;&gt;"",SUMPRODUCT(($A$3:$A$62=$A55)*($B$3:$B$62&lt;$C55)*($C$3:$C$62&gt;$B55)*(ROW($A$3:$A$62)&lt;&gt;ROW())*((($G$3:$G$62=H55)+($H$3:$H$62=H55)+($I$3:$I$62=H55)+($J$3:$J$62=H55))&gt;0))&gt;0),AND(I55&lt;&gt;"",SUMPRODUCT(($A$3:$A$62=$A55)*($B$3:$B$62&lt;$C55)*($C$3:$C$62&gt;$B55)*(ROW($A$3:$A$62)&lt;&gt;ROW())*((($G$3:$G$62=I55)+($H$3:$H$62=I55)+($I$3:$I$62=I55)+($J$3:$J$62=I55))&gt;0))&gt;0),AND(J55&lt;&gt;"",SUMPRODUCT(($A$3:$A$62=$A55)*($B$3:$B$62&lt;$C55)*($C$3:$C$62&gt;$B55)*(ROW($A$3:$A$62)&lt;&gt;ROW())*((($G$3:$G$62=J55)+($H$3:$H$62=J55)+($I$3:$I$62=J55)+($J$3:$J$62=J55))&gt;0))&gt;0)),"RED - MEETING CLASH",IF(OR(AND(G55&lt;&gt;"",COUNTIFS('Work Activity'!$C$3:$C$89,$A55,'Work Activity'!$G$3:$G$89,G55,'Work Activity'!$A$3:$A$89,"&lt;&gt;"&amp;$D55)&gt;0),AND(H55&lt;&gt;"",COUNTIFS('Work Activity'!$C$3:$C$89,$A55,'Work Activity'!$G$3:$G$89,H55,'Work Activity'!$A$3:$A$89,"&lt;&gt;"&amp;$D55)&gt;0),AND(I55&lt;&gt;"",COUNTIFS('Work Activity'!$C$3:$C$89,$A55,'Work Activity'!$G$3:$G$89,I55,'Work Activity'!$A$3:$A$89,"&lt;&gt;"&amp;$D55)&gt;0),AND(J55&lt;&gt;"",COUNTIFS('Work Activity'!$C$3:$C$89,$A55,'Work Activity'!$G$3:$G$89,J55,'Work Activity'!$A$3:$A$89,"&lt;&gt;"&amp;$D55)&gt;0)),"YELLOW - DEADLINE CHECK","CLEAR"))</f>
        <v>CLEAR</v>
      </c>
      <c r="M55" t="str">
        <f>TRIM(IF(AND(G55&lt;&gt;"",SUMPRODUCT(($A$3:$A$62=$A55)*($B$3:$B$62&lt;$C55)*($C$3:$C$62&gt;$B55)*(ROW($A$3:$A$62)&lt;&gt;ROW())*((($G$3:$G$62=G55)+($H$3:$H$62=G55)+($I$3:$I$62=G55)+($J$3:$J$62=G55))&gt;0))&gt;0),"RED: "&amp;G55&amp;" bentrok meeting. ","")&amp;IF(AND(G55&lt;&gt;"",NOT(SUMPRODUCT(($A$3:$A$62=$A55)*($B$3:$B$62&lt;$C55)*($C$3:$C$62&gt;$B55)*(ROW($A$3:$A$62)&lt;&gt;ROW())*((($G$3:$G$62=G55)+($H$3:$H$62=G55)+($I$3:$I$62=G55)+($J$3:$J$62=G55))&gt;0))&gt;0),COUNTIFS('Work Activity'!$C$3:$C$89,$A55,'Work Activity'!$G$3:$G$89,G55,'Work Activity'!$A$3:$A$89,"&lt;&gt;"&amp;$D55)&gt;0),"YELLOW: "&amp;G55&amp;" punya deadline project lain pada tanggal yang sama. ","")&amp;IF(AND(H55&lt;&gt;"",SUMPRODUCT(($A$3:$A$62=$A55)*($B$3:$B$62&lt;$C55)*($C$3:$C$62&gt;$B55)*(ROW($A$3:$A$62)&lt;&gt;ROW())*((($G$3:$G$62=H55)+($H$3:$H$62=H55)+($I$3:$I$62=H55)+($J$3:$J$62=H55))&gt;0))&gt;0),"RED: "&amp;H55&amp;" bentrok meeting. ","")&amp;IF(AND(H55&lt;&gt;"",NOT(SUMPRODUCT(($A$3:$A$62=$A55)*($B$3:$B$62&lt;$C55)*($C$3:$C$62&gt;$B55)*(ROW($A$3:$A$62)&lt;&gt;ROW())*((($G$3:$G$62=H55)+($H$3:$H$62=H55)+($I$3:$I$62=H55)+($J$3:$J$62=H55))&gt;0))&gt;0),COUNTIFS('Work Activity'!$C$3:$C$89,$A55,'Work Activity'!$G$3:$G$89,H55,'Work Activity'!$A$3:$A$89,"&lt;&gt;"&amp;$D55)&gt;0),"YELLOW: "&amp;H55&amp;" punya deadline project lain pada tanggal yang sama. ","")&amp;IF(AND(I55&lt;&gt;"",SUMPRODUCT(($A$3:$A$62=$A55)*($B$3:$B$62&lt;$C55)*($C$3:$C$62&gt;$B55)*(ROW($A$3:$A$62)&lt;&gt;ROW())*((($G$3:$G$62=I55)+($H$3:$H$62=I55)+($I$3:$I$62=I55)+($J$3:$J$62=I55))&gt;0))&gt;0),"RED: "&amp;I55&amp;" bentrok meeting. ","")&amp;IF(AND(I55&lt;&gt;"",NOT(SUMPRODUCT(($A$3:$A$62=$A55)*($B$3:$B$62&lt;$C55)*($C$3:$C$62&gt;$B55)*(ROW($A$3:$A$62)&lt;&gt;ROW())*((($G$3:$G$62=I55)+($H$3:$H$62=I55)+($I$3:$I$62=I55)+($J$3:$J$62=I55))&gt;0))&gt;0),COUNTIFS('Work Activity'!$C$3:$C$89,$A55,'Work Activity'!$G$3:$G$89,I55,'Work Activity'!$A$3:$A$89,"&lt;&gt;"&amp;$D55)&gt;0),"YELLOW: "&amp;I55&amp;" punya deadline project lain pada tanggal yang sama. ","")&amp;IF(AND(J55&lt;&gt;"",SUMPRODUCT(($A$3:$A$62=$A55)*($B$3:$B$62&lt;$C55)*($C$3:$C$62&gt;$B55)*(ROW($A$3:$A$62)&lt;&gt;ROW())*((($G$3:$G$62=J55)+($H$3:$H$62=J55)+($I$3:$I$62=J55)+($J$3:$J$62=J55))&gt;0))&gt;0),"RED: "&amp;J55&amp;" bentrok meeting. ","")&amp;IF(AND(J55&lt;&gt;"",NOT(SUMPRODUCT(($A$3:$A$62=$A55)*($B$3:$B$62&lt;$C55)*($C$3:$C$62&gt;$B55)*(ROW($A$3:$A$62)&lt;&gt;ROW())*((($G$3:$G$62=J55)+($H$3:$H$62=J55)+($I$3:$I$62=J55)+($J$3:$J$62=J55))&gt;0))&gt;0),COUNTIFS('Work Activity'!$C$3:$C$89,$A55,'Work Activity'!$G$3:$G$89,J55,'Work Activity'!$A$3:$A$89,"&lt;&gt;"&amp;$D55)&gt;0),"YELLOW: "&amp;J55&amp;" punya deadline project lain pada tanggal yang sama. ",""))</f>
        <v/>
      </c>
      <c r="O55" t="str">
        <f t="shared" si="1"/>
        <v/>
      </c>
    </row>
    <row r="56" spans="1:15">
      <c r="A56" s="9"/>
      <c r="B56" s="12"/>
      <c r="C56" s="12"/>
      <c r="E56" t="str">
        <f>IFERROR(INDEX(Setup!$I$3:$I$17,MATCH($D56,Setup!$H$3:$H$17,0)),"")</f>
        <v/>
      </c>
      <c r="L56" t="str">
        <f>IF(OR(AND(G56&lt;&gt;"",SUMPRODUCT(($A$3:$A$62=$A56)*($B$3:$B$62&lt;$C56)*($C$3:$C$62&gt;$B56)*(ROW($A$3:$A$62)&lt;&gt;ROW())*((($G$3:$G$62=G56)+($H$3:$H$62=G56)+($I$3:$I$62=G56)+($J$3:$J$62=G56))&gt;0))&gt;0),AND(H56&lt;&gt;"",SUMPRODUCT(($A$3:$A$62=$A56)*($B$3:$B$62&lt;$C56)*($C$3:$C$62&gt;$B56)*(ROW($A$3:$A$62)&lt;&gt;ROW())*((($G$3:$G$62=H56)+($H$3:$H$62=H56)+($I$3:$I$62=H56)+($J$3:$J$62=H56))&gt;0))&gt;0),AND(I56&lt;&gt;"",SUMPRODUCT(($A$3:$A$62=$A56)*($B$3:$B$62&lt;$C56)*($C$3:$C$62&gt;$B56)*(ROW($A$3:$A$62)&lt;&gt;ROW())*((($G$3:$G$62=I56)+($H$3:$H$62=I56)+($I$3:$I$62=I56)+($J$3:$J$62=I56))&gt;0))&gt;0),AND(J56&lt;&gt;"",SUMPRODUCT(($A$3:$A$62=$A56)*($B$3:$B$62&lt;$C56)*($C$3:$C$62&gt;$B56)*(ROW($A$3:$A$62)&lt;&gt;ROW())*((($G$3:$G$62=J56)+($H$3:$H$62=J56)+($I$3:$I$62=J56)+($J$3:$J$62=J56))&gt;0))&gt;0)),"RED - MEETING CLASH",IF(OR(AND(G56&lt;&gt;"",COUNTIFS('Work Activity'!$C$3:$C$89,$A56,'Work Activity'!$G$3:$G$89,G56,'Work Activity'!$A$3:$A$89,"&lt;&gt;"&amp;$D56)&gt;0),AND(H56&lt;&gt;"",COUNTIFS('Work Activity'!$C$3:$C$89,$A56,'Work Activity'!$G$3:$G$89,H56,'Work Activity'!$A$3:$A$89,"&lt;&gt;"&amp;$D56)&gt;0),AND(I56&lt;&gt;"",COUNTIFS('Work Activity'!$C$3:$C$89,$A56,'Work Activity'!$G$3:$G$89,I56,'Work Activity'!$A$3:$A$89,"&lt;&gt;"&amp;$D56)&gt;0),AND(J56&lt;&gt;"",COUNTIFS('Work Activity'!$C$3:$C$89,$A56,'Work Activity'!$G$3:$G$89,J56,'Work Activity'!$A$3:$A$89,"&lt;&gt;"&amp;$D56)&gt;0)),"YELLOW - DEADLINE CHECK","CLEAR"))</f>
        <v>CLEAR</v>
      </c>
      <c r="M56" t="str">
        <f>TRIM(IF(AND(G56&lt;&gt;"",SUMPRODUCT(($A$3:$A$62=$A56)*($B$3:$B$62&lt;$C56)*($C$3:$C$62&gt;$B56)*(ROW($A$3:$A$62)&lt;&gt;ROW())*((($G$3:$G$62=G56)+($H$3:$H$62=G56)+($I$3:$I$62=G56)+($J$3:$J$62=G56))&gt;0))&gt;0),"RED: "&amp;G56&amp;" bentrok meeting. ","")&amp;IF(AND(G56&lt;&gt;"",NOT(SUMPRODUCT(($A$3:$A$62=$A56)*($B$3:$B$62&lt;$C56)*($C$3:$C$62&gt;$B56)*(ROW($A$3:$A$62)&lt;&gt;ROW())*((($G$3:$G$62=G56)+($H$3:$H$62=G56)+($I$3:$I$62=G56)+($J$3:$J$62=G56))&gt;0))&gt;0),COUNTIFS('Work Activity'!$C$3:$C$89,$A56,'Work Activity'!$G$3:$G$89,G56,'Work Activity'!$A$3:$A$89,"&lt;&gt;"&amp;$D56)&gt;0),"YELLOW: "&amp;G56&amp;" punya deadline project lain pada tanggal yang sama. ","")&amp;IF(AND(H56&lt;&gt;"",SUMPRODUCT(($A$3:$A$62=$A56)*($B$3:$B$62&lt;$C56)*($C$3:$C$62&gt;$B56)*(ROW($A$3:$A$62)&lt;&gt;ROW())*((($G$3:$G$62=H56)+($H$3:$H$62=H56)+($I$3:$I$62=H56)+($J$3:$J$62=H56))&gt;0))&gt;0),"RED: "&amp;H56&amp;" bentrok meeting. ","")&amp;IF(AND(H56&lt;&gt;"",NOT(SUMPRODUCT(($A$3:$A$62=$A56)*($B$3:$B$62&lt;$C56)*($C$3:$C$62&gt;$B56)*(ROW($A$3:$A$62)&lt;&gt;ROW())*((($G$3:$G$62=H56)+($H$3:$H$62=H56)+($I$3:$I$62=H56)+($J$3:$J$62=H56))&gt;0))&gt;0),COUNTIFS('Work Activity'!$C$3:$C$89,$A56,'Work Activity'!$G$3:$G$89,H56,'Work Activity'!$A$3:$A$89,"&lt;&gt;"&amp;$D56)&gt;0),"YELLOW: "&amp;H56&amp;" punya deadline project lain pada tanggal yang sama. ","")&amp;IF(AND(I56&lt;&gt;"",SUMPRODUCT(($A$3:$A$62=$A56)*($B$3:$B$62&lt;$C56)*($C$3:$C$62&gt;$B56)*(ROW($A$3:$A$62)&lt;&gt;ROW())*((($G$3:$G$62=I56)+($H$3:$H$62=I56)+($I$3:$I$62=I56)+($J$3:$J$62=I56))&gt;0))&gt;0),"RED: "&amp;I56&amp;" bentrok meeting. ","")&amp;IF(AND(I56&lt;&gt;"",NOT(SUMPRODUCT(($A$3:$A$62=$A56)*($B$3:$B$62&lt;$C56)*($C$3:$C$62&gt;$B56)*(ROW($A$3:$A$62)&lt;&gt;ROW())*((($G$3:$G$62=I56)+($H$3:$H$62=I56)+($I$3:$I$62=I56)+($J$3:$J$62=I56))&gt;0))&gt;0),COUNTIFS('Work Activity'!$C$3:$C$89,$A56,'Work Activity'!$G$3:$G$89,I56,'Work Activity'!$A$3:$A$89,"&lt;&gt;"&amp;$D56)&gt;0),"YELLOW: "&amp;I56&amp;" punya deadline project lain pada tanggal yang sama. ","")&amp;IF(AND(J56&lt;&gt;"",SUMPRODUCT(($A$3:$A$62=$A56)*($B$3:$B$62&lt;$C56)*($C$3:$C$62&gt;$B56)*(ROW($A$3:$A$62)&lt;&gt;ROW())*((($G$3:$G$62=J56)+($H$3:$H$62=J56)+($I$3:$I$62=J56)+($J$3:$J$62=J56))&gt;0))&gt;0),"RED: "&amp;J56&amp;" bentrok meeting. ","")&amp;IF(AND(J56&lt;&gt;"",NOT(SUMPRODUCT(($A$3:$A$62=$A56)*($B$3:$B$62&lt;$C56)*($C$3:$C$62&gt;$B56)*(ROW($A$3:$A$62)&lt;&gt;ROW())*((($G$3:$G$62=J56)+($H$3:$H$62=J56)+($I$3:$I$62=J56)+($J$3:$J$62=J56))&gt;0))&gt;0),COUNTIFS('Work Activity'!$C$3:$C$89,$A56,'Work Activity'!$G$3:$G$89,J56,'Work Activity'!$A$3:$A$89,"&lt;&gt;"&amp;$D56)&gt;0),"YELLOW: "&amp;J56&amp;" punya deadline project lain pada tanggal yang sama. ",""))</f>
        <v/>
      </c>
      <c r="O56" t="str">
        <f t="shared" si="1"/>
        <v/>
      </c>
    </row>
    <row r="57" spans="1:15">
      <c r="A57" s="9"/>
      <c r="B57" s="12"/>
      <c r="C57" s="12"/>
      <c r="E57" t="str">
        <f>IFERROR(INDEX(Setup!$I$3:$I$17,MATCH($D57,Setup!$H$3:$H$17,0)),"")</f>
        <v/>
      </c>
      <c r="L57" t="str">
        <f>IF(OR(AND(G57&lt;&gt;"",SUMPRODUCT(($A$3:$A$62=$A57)*($B$3:$B$62&lt;$C57)*($C$3:$C$62&gt;$B57)*(ROW($A$3:$A$62)&lt;&gt;ROW())*((($G$3:$G$62=G57)+($H$3:$H$62=G57)+($I$3:$I$62=G57)+($J$3:$J$62=G57))&gt;0))&gt;0),AND(H57&lt;&gt;"",SUMPRODUCT(($A$3:$A$62=$A57)*($B$3:$B$62&lt;$C57)*($C$3:$C$62&gt;$B57)*(ROW($A$3:$A$62)&lt;&gt;ROW())*((($G$3:$G$62=H57)+($H$3:$H$62=H57)+($I$3:$I$62=H57)+($J$3:$J$62=H57))&gt;0))&gt;0),AND(I57&lt;&gt;"",SUMPRODUCT(($A$3:$A$62=$A57)*($B$3:$B$62&lt;$C57)*($C$3:$C$62&gt;$B57)*(ROW($A$3:$A$62)&lt;&gt;ROW())*((($G$3:$G$62=I57)+($H$3:$H$62=I57)+($I$3:$I$62=I57)+($J$3:$J$62=I57))&gt;0))&gt;0),AND(J57&lt;&gt;"",SUMPRODUCT(($A$3:$A$62=$A57)*($B$3:$B$62&lt;$C57)*($C$3:$C$62&gt;$B57)*(ROW($A$3:$A$62)&lt;&gt;ROW())*((($G$3:$G$62=J57)+($H$3:$H$62=J57)+($I$3:$I$62=J57)+($J$3:$J$62=J57))&gt;0))&gt;0)),"RED - MEETING CLASH",IF(OR(AND(G57&lt;&gt;"",COUNTIFS('Work Activity'!$C$3:$C$89,$A57,'Work Activity'!$G$3:$G$89,G57,'Work Activity'!$A$3:$A$89,"&lt;&gt;"&amp;$D57)&gt;0),AND(H57&lt;&gt;"",COUNTIFS('Work Activity'!$C$3:$C$89,$A57,'Work Activity'!$G$3:$G$89,H57,'Work Activity'!$A$3:$A$89,"&lt;&gt;"&amp;$D57)&gt;0),AND(I57&lt;&gt;"",COUNTIFS('Work Activity'!$C$3:$C$89,$A57,'Work Activity'!$G$3:$G$89,I57,'Work Activity'!$A$3:$A$89,"&lt;&gt;"&amp;$D57)&gt;0),AND(J57&lt;&gt;"",COUNTIFS('Work Activity'!$C$3:$C$89,$A57,'Work Activity'!$G$3:$G$89,J57,'Work Activity'!$A$3:$A$89,"&lt;&gt;"&amp;$D57)&gt;0)),"YELLOW - DEADLINE CHECK","CLEAR"))</f>
        <v>CLEAR</v>
      </c>
      <c r="M57" t="str">
        <f>TRIM(IF(AND(G57&lt;&gt;"",SUMPRODUCT(($A$3:$A$62=$A57)*($B$3:$B$62&lt;$C57)*($C$3:$C$62&gt;$B57)*(ROW($A$3:$A$62)&lt;&gt;ROW())*((($G$3:$G$62=G57)+($H$3:$H$62=G57)+($I$3:$I$62=G57)+($J$3:$J$62=G57))&gt;0))&gt;0),"RED: "&amp;G57&amp;" bentrok meeting. ","")&amp;IF(AND(G57&lt;&gt;"",NOT(SUMPRODUCT(($A$3:$A$62=$A57)*($B$3:$B$62&lt;$C57)*($C$3:$C$62&gt;$B57)*(ROW($A$3:$A$62)&lt;&gt;ROW())*((($G$3:$G$62=G57)+($H$3:$H$62=G57)+($I$3:$I$62=G57)+($J$3:$J$62=G57))&gt;0))&gt;0),COUNTIFS('Work Activity'!$C$3:$C$89,$A57,'Work Activity'!$G$3:$G$89,G57,'Work Activity'!$A$3:$A$89,"&lt;&gt;"&amp;$D57)&gt;0),"YELLOW: "&amp;G57&amp;" punya deadline project lain pada tanggal yang sama. ","")&amp;IF(AND(H57&lt;&gt;"",SUMPRODUCT(($A$3:$A$62=$A57)*($B$3:$B$62&lt;$C57)*($C$3:$C$62&gt;$B57)*(ROW($A$3:$A$62)&lt;&gt;ROW())*((($G$3:$G$62=H57)+($H$3:$H$62=H57)+($I$3:$I$62=H57)+($J$3:$J$62=H57))&gt;0))&gt;0),"RED: "&amp;H57&amp;" bentrok meeting. ","")&amp;IF(AND(H57&lt;&gt;"",NOT(SUMPRODUCT(($A$3:$A$62=$A57)*($B$3:$B$62&lt;$C57)*($C$3:$C$62&gt;$B57)*(ROW($A$3:$A$62)&lt;&gt;ROW())*((($G$3:$G$62=H57)+($H$3:$H$62=H57)+($I$3:$I$62=H57)+($J$3:$J$62=H57))&gt;0))&gt;0),COUNTIFS('Work Activity'!$C$3:$C$89,$A57,'Work Activity'!$G$3:$G$89,H57,'Work Activity'!$A$3:$A$89,"&lt;&gt;"&amp;$D57)&gt;0),"YELLOW: "&amp;H57&amp;" punya deadline project lain pada tanggal yang sama. ","")&amp;IF(AND(I57&lt;&gt;"",SUMPRODUCT(($A$3:$A$62=$A57)*($B$3:$B$62&lt;$C57)*($C$3:$C$62&gt;$B57)*(ROW($A$3:$A$62)&lt;&gt;ROW())*((($G$3:$G$62=I57)+($H$3:$H$62=I57)+($I$3:$I$62=I57)+($J$3:$J$62=I57))&gt;0))&gt;0),"RED: "&amp;I57&amp;" bentrok meeting. ","")&amp;IF(AND(I57&lt;&gt;"",NOT(SUMPRODUCT(($A$3:$A$62=$A57)*($B$3:$B$62&lt;$C57)*($C$3:$C$62&gt;$B57)*(ROW($A$3:$A$62)&lt;&gt;ROW())*((($G$3:$G$62=I57)+($H$3:$H$62=I57)+($I$3:$I$62=I57)+($J$3:$J$62=I57))&gt;0))&gt;0),COUNTIFS('Work Activity'!$C$3:$C$89,$A57,'Work Activity'!$G$3:$G$89,I57,'Work Activity'!$A$3:$A$89,"&lt;&gt;"&amp;$D57)&gt;0),"YELLOW: "&amp;I57&amp;" punya deadline project lain pada tanggal yang sama. ","")&amp;IF(AND(J57&lt;&gt;"",SUMPRODUCT(($A$3:$A$62=$A57)*($B$3:$B$62&lt;$C57)*($C$3:$C$62&gt;$B57)*(ROW($A$3:$A$62)&lt;&gt;ROW())*((($G$3:$G$62=J57)+($H$3:$H$62=J57)+($I$3:$I$62=J57)+($J$3:$J$62=J57))&gt;0))&gt;0),"RED: "&amp;J57&amp;" bentrok meeting. ","")&amp;IF(AND(J57&lt;&gt;"",NOT(SUMPRODUCT(($A$3:$A$62=$A57)*($B$3:$B$62&lt;$C57)*($C$3:$C$62&gt;$B57)*(ROW($A$3:$A$62)&lt;&gt;ROW())*((($G$3:$G$62=J57)+($H$3:$H$62=J57)+($I$3:$I$62=J57)+($J$3:$J$62=J57))&gt;0))&gt;0),COUNTIFS('Work Activity'!$C$3:$C$89,$A57,'Work Activity'!$G$3:$G$89,J57,'Work Activity'!$A$3:$A$89,"&lt;&gt;"&amp;$D57)&gt;0),"YELLOW: "&amp;J57&amp;" punya deadline project lain pada tanggal yang sama. ",""))</f>
        <v/>
      </c>
      <c r="O57" t="str">
        <f t="shared" si="1"/>
        <v/>
      </c>
    </row>
    <row r="58" spans="1:15">
      <c r="A58" s="9"/>
      <c r="B58" s="12"/>
      <c r="C58" s="12"/>
      <c r="E58" t="str">
        <f>IFERROR(INDEX(Setup!$I$3:$I$17,MATCH($D58,Setup!$H$3:$H$17,0)),"")</f>
        <v/>
      </c>
      <c r="L58" t="str">
        <f>IF(OR(AND(G58&lt;&gt;"",SUMPRODUCT(($A$3:$A$62=$A58)*($B$3:$B$62&lt;$C58)*($C$3:$C$62&gt;$B58)*(ROW($A$3:$A$62)&lt;&gt;ROW())*((($G$3:$G$62=G58)+($H$3:$H$62=G58)+($I$3:$I$62=G58)+($J$3:$J$62=G58))&gt;0))&gt;0),AND(H58&lt;&gt;"",SUMPRODUCT(($A$3:$A$62=$A58)*($B$3:$B$62&lt;$C58)*($C$3:$C$62&gt;$B58)*(ROW($A$3:$A$62)&lt;&gt;ROW())*((($G$3:$G$62=H58)+($H$3:$H$62=H58)+($I$3:$I$62=H58)+($J$3:$J$62=H58))&gt;0))&gt;0),AND(I58&lt;&gt;"",SUMPRODUCT(($A$3:$A$62=$A58)*($B$3:$B$62&lt;$C58)*($C$3:$C$62&gt;$B58)*(ROW($A$3:$A$62)&lt;&gt;ROW())*((($G$3:$G$62=I58)+($H$3:$H$62=I58)+($I$3:$I$62=I58)+($J$3:$J$62=I58))&gt;0))&gt;0),AND(J58&lt;&gt;"",SUMPRODUCT(($A$3:$A$62=$A58)*($B$3:$B$62&lt;$C58)*($C$3:$C$62&gt;$B58)*(ROW($A$3:$A$62)&lt;&gt;ROW())*((($G$3:$G$62=J58)+($H$3:$H$62=J58)+($I$3:$I$62=J58)+($J$3:$J$62=J58))&gt;0))&gt;0)),"RED - MEETING CLASH",IF(OR(AND(G58&lt;&gt;"",COUNTIFS('Work Activity'!$C$3:$C$89,$A58,'Work Activity'!$G$3:$G$89,G58,'Work Activity'!$A$3:$A$89,"&lt;&gt;"&amp;$D58)&gt;0),AND(H58&lt;&gt;"",COUNTIFS('Work Activity'!$C$3:$C$89,$A58,'Work Activity'!$G$3:$G$89,H58,'Work Activity'!$A$3:$A$89,"&lt;&gt;"&amp;$D58)&gt;0),AND(I58&lt;&gt;"",COUNTIFS('Work Activity'!$C$3:$C$89,$A58,'Work Activity'!$G$3:$G$89,I58,'Work Activity'!$A$3:$A$89,"&lt;&gt;"&amp;$D58)&gt;0),AND(J58&lt;&gt;"",COUNTIFS('Work Activity'!$C$3:$C$89,$A58,'Work Activity'!$G$3:$G$89,J58,'Work Activity'!$A$3:$A$89,"&lt;&gt;"&amp;$D58)&gt;0)),"YELLOW - DEADLINE CHECK","CLEAR"))</f>
        <v>CLEAR</v>
      </c>
      <c r="M58" t="str">
        <f>TRIM(IF(AND(G58&lt;&gt;"",SUMPRODUCT(($A$3:$A$62=$A58)*($B$3:$B$62&lt;$C58)*($C$3:$C$62&gt;$B58)*(ROW($A$3:$A$62)&lt;&gt;ROW())*((($G$3:$G$62=G58)+($H$3:$H$62=G58)+($I$3:$I$62=G58)+($J$3:$J$62=G58))&gt;0))&gt;0),"RED: "&amp;G58&amp;" bentrok meeting. ","")&amp;IF(AND(G58&lt;&gt;"",NOT(SUMPRODUCT(($A$3:$A$62=$A58)*($B$3:$B$62&lt;$C58)*($C$3:$C$62&gt;$B58)*(ROW($A$3:$A$62)&lt;&gt;ROW())*((($G$3:$G$62=G58)+($H$3:$H$62=G58)+($I$3:$I$62=G58)+($J$3:$J$62=G58))&gt;0))&gt;0),COUNTIFS('Work Activity'!$C$3:$C$89,$A58,'Work Activity'!$G$3:$G$89,G58,'Work Activity'!$A$3:$A$89,"&lt;&gt;"&amp;$D58)&gt;0),"YELLOW: "&amp;G58&amp;" punya deadline project lain pada tanggal yang sama. ","")&amp;IF(AND(H58&lt;&gt;"",SUMPRODUCT(($A$3:$A$62=$A58)*($B$3:$B$62&lt;$C58)*($C$3:$C$62&gt;$B58)*(ROW($A$3:$A$62)&lt;&gt;ROW())*((($G$3:$G$62=H58)+($H$3:$H$62=H58)+($I$3:$I$62=H58)+($J$3:$J$62=H58))&gt;0))&gt;0),"RED: "&amp;H58&amp;" bentrok meeting. ","")&amp;IF(AND(H58&lt;&gt;"",NOT(SUMPRODUCT(($A$3:$A$62=$A58)*($B$3:$B$62&lt;$C58)*($C$3:$C$62&gt;$B58)*(ROW($A$3:$A$62)&lt;&gt;ROW())*((($G$3:$G$62=H58)+($H$3:$H$62=H58)+($I$3:$I$62=H58)+($J$3:$J$62=H58))&gt;0))&gt;0),COUNTIFS('Work Activity'!$C$3:$C$89,$A58,'Work Activity'!$G$3:$G$89,H58,'Work Activity'!$A$3:$A$89,"&lt;&gt;"&amp;$D58)&gt;0),"YELLOW: "&amp;H58&amp;" punya deadline project lain pada tanggal yang sama. ","")&amp;IF(AND(I58&lt;&gt;"",SUMPRODUCT(($A$3:$A$62=$A58)*($B$3:$B$62&lt;$C58)*($C$3:$C$62&gt;$B58)*(ROW($A$3:$A$62)&lt;&gt;ROW())*((($G$3:$G$62=I58)+($H$3:$H$62=I58)+($I$3:$I$62=I58)+($J$3:$J$62=I58))&gt;0))&gt;0),"RED: "&amp;I58&amp;" bentrok meeting. ","")&amp;IF(AND(I58&lt;&gt;"",NOT(SUMPRODUCT(($A$3:$A$62=$A58)*($B$3:$B$62&lt;$C58)*($C$3:$C$62&gt;$B58)*(ROW($A$3:$A$62)&lt;&gt;ROW())*((($G$3:$G$62=I58)+($H$3:$H$62=I58)+($I$3:$I$62=I58)+($J$3:$J$62=I58))&gt;0))&gt;0),COUNTIFS('Work Activity'!$C$3:$C$89,$A58,'Work Activity'!$G$3:$G$89,I58,'Work Activity'!$A$3:$A$89,"&lt;&gt;"&amp;$D58)&gt;0),"YELLOW: "&amp;I58&amp;" punya deadline project lain pada tanggal yang sama. ","")&amp;IF(AND(J58&lt;&gt;"",SUMPRODUCT(($A$3:$A$62=$A58)*($B$3:$B$62&lt;$C58)*($C$3:$C$62&gt;$B58)*(ROW($A$3:$A$62)&lt;&gt;ROW())*((($G$3:$G$62=J58)+($H$3:$H$62=J58)+($I$3:$I$62=J58)+($J$3:$J$62=J58))&gt;0))&gt;0),"RED: "&amp;J58&amp;" bentrok meeting. ","")&amp;IF(AND(J58&lt;&gt;"",NOT(SUMPRODUCT(($A$3:$A$62=$A58)*($B$3:$B$62&lt;$C58)*($C$3:$C$62&gt;$B58)*(ROW($A$3:$A$62)&lt;&gt;ROW())*((($G$3:$G$62=J58)+($H$3:$H$62=J58)+($I$3:$I$62=J58)+($J$3:$J$62=J58))&gt;0))&gt;0),COUNTIFS('Work Activity'!$C$3:$C$89,$A58,'Work Activity'!$G$3:$G$89,J58,'Work Activity'!$A$3:$A$89,"&lt;&gt;"&amp;$D58)&gt;0),"YELLOW: "&amp;J58&amp;" punya deadline project lain pada tanggal yang sama. ",""))</f>
        <v/>
      </c>
      <c r="O58" t="str">
        <f t="shared" si="1"/>
        <v/>
      </c>
    </row>
    <row r="59" spans="1:15">
      <c r="A59" s="9"/>
      <c r="B59" s="12"/>
      <c r="C59" s="12"/>
      <c r="E59" t="str">
        <f>IFERROR(INDEX(Setup!$I$3:$I$17,MATCH($D59,Setup!$H$3:$H$17,0)),"")</f>
        <v/>
      </c>
      <c r="L59" t="str">
        <f>IF(OR(AND(G59&lt;&gt;"",SUMPRODUCT(($A$3:$A$62=$A59)*($B$3:$B$62&lt;$C59)*($C$3:$C$62&gt;$B59)*(ROW($A$3:$A$62)&lt;&gt;ROW())*((($G$3:$G$62=G59)+($H$3:$H$62=G59)+($I$3:$I$62=G59)+($J$3:$J$62=G59))&gt;0))&gt;0),AND(H59&lt;&gt;"",SUMPRODUCT(($A$3:$A$62=$A59)*($B$3:$B$62&lt;$C59)*($C$3:$C$62&gt;$B59)*(ROW($A$3:$A$62)&lt;&gt;ROW())*((($G$3:$G$62=H59)+($H$3:$H$62=H59)+($I$3:$I$62=H59)+($J$3:$J$62=H59))&gt;0))&gt;0),AND(I59&lt;&gt;"",SUMPRODUCT(($A$3:$A$62=$A59)*($B$3:$B$62&lt;$C59)*($C$3:$C$62&gt;$B59)*(ROW($A$3:$A$62)&lt;&gt;ROW())*((($G$3:$G$62=I59)+($H$3:$H$62=I59)+($I$3:$I$62=I59)+($J$3:$J$62=I59))&gt;0))&gt;0),AND(J59&lt;&gt;"",SUMPRODUCT(($A$3:$A$62=$A59)*($B$3:$B$62&lt;$C59)*($C$3:$C$62&gt;$B59)*(ROW($A$3:$A$62)&lt;&gt;ROW())*((($G$3:$G$62=J59)+($H$3:$H$62=J59)+($I$3:$I$62=J59)+($J$3:$J$62=J59))&gt;0))&gt;0)),"RED - MEETING CLASH",IF(OR(AND(G59&lt;&gt;"",COUNTIFS('Work Activity'!$C$3:$C$89,$A59,'Work Activity'!$G$3:$G$89,G59,'Work Activity'!$A$3:$A$89,"&lt;&gt;"&amp;$D59)&gt;0),AND(H59&lt;&gt;"",COUNTIFS('Work Activity'!$C$3:$C$89,$A59,'Work Activity'!$G$3:$G$89,H59,'Work Activity'!$A$3:$A$89,"&lt;&gt;"&amp;$D59)&gt;0),AND(I59&lt;&gt;"",COUNTIFS('Work Activity'!$C$3:$C$89,$A59,'Work Activity'!$G$3:$G$89,I59,'Work Activity'!$A$3:$A$89,"&lt;&gt;"&amp;$D59)&gt;0),AND(J59&lt;&gt;"",COUNTIFS('Work Activity'!$C$3:$C$89,$A59,'Work Activity'!$G$3:$G$89,J59,'Work Activity'!$A$3:$A$89,"&lt;&gt;"&amp;$D59)&gt;0)),"YELLOW - DEADLINE CHECK","CLEAR"))</f>
        <v>CLEAR</v>
      </c>
      <c r="M59" t="str">
        <f>TRIM(IF(AND(G59&lt;&gt;"",SUMPRODUCT(($A$3:$A$62=$A59)*($B$3:$B$62&lt;$C59)*($C$3:$C$62&gt;$B59)*(ROW($A$3:$A$62)&lt;&gt;ROW())*((($G$3:$G$62=G59)+($H$3:$H$62=G59)+($I$3:$I$62=G59)+($J$3:$J$62=G59))&gt;0))&gt;0),"RED: "&amp;G59&amp;" bentrok meeting. ","")&amp;IF(AND(G59&lt;&gt;"",NOT(SUMPRODUCT(($A$3:$A$62=$A59)*($B$3:$B$62&lt;$C59)*($C$3:$C$62&gt;$B59)*(ROW($A$3:$A$62)&lt;&gt;ROW())*((($G$3:$G$62=G59)+($H$3:$H$62=G59)+($I$3:$I$62=G59)+($J$3:$J$62=G59))&gt;0))&gt;0),COUNTIFS('Work Activity'!$C$3:$C$89,$A59,'Work Activity'!$G$3:$G$89,G59,'Work Activity'!$A$3:$A$89,"&lt;&gt;"&amp;$D59)&gt;0),"YELLOW: "&amp;G59&amp;" punya deadline project lain pada tanggal yang sama. ","")&amp;IF(AND(H59&lt;&gt;"",SUMPRODUCT(($A$3:$A$62=$A59)*($B$3:$B$62&lt;$C59)*($C$3:$C$62&gt;$B59)*(ROW($A$3:$A$62)&lt;&gt;ROW())*((($G$3:$G$62=H59)+($H$3:$H$62=H59)+($I$3:$I$62=H59)+($J$3:$J$62=H59))&gt;0))&gt;0),"RED: "&amp;H59&amp;" bentrok meeting. ","")&amp;IF(AND(H59&lt;&gt;"",NOT(SUMPRODUCT(($A$3:$A$62=$A59)*($B$3:$B$62&lt;$C59)*($C$3:$C$62&gt;$B59)*(ROW($A$3:$A$62)&lt;&gt;ROW())*((($G$3:$G$62=H59)+($H$3:$H$62=H59)+($I$3:$I$62=H59)+($J$3:$J$62=H59))&gt;0))&gt;0),COUNTIFS('Work Activity'!$C$3:$C$89,$A59,'Work Activity'!$G$3:$G$89,H59,'Work Activity'!$A$3:$A$89,"&lt;&gt;"&amp;$D59)&gt;0),"YELLOW: "&amp;H59&amp;" punya deadline project lain pada tanggal yang sama. ","")&amp;IF(AND(I59&lt;&gt;"",SUMPRODUCT(($A$3:$A$62=$A59)*($B$3:$B$62&lt;$C59)*($C$3:$C$62&gt;$B59)*(ROW($A$3:$A$62)&lt;&gt;ROW())*((($G$3:$G$62=I59)+($H$3:$H$62=I59)+($I$3:$I$62=I59)+($J$3:$J$62=I59))&gt;0))&gt;0),"RED: "&amp;I59&amp;" bentrok meeting. ","")&amp;IF(AND(I59&lt;&gt;"",NOT(SUMPRODUCT(($A$3:$A$62=$A59)*($B$3:$B$62&lt;$C59)*($C$3:$C$62&gt;$B59)*(ROW($A$3:$A$62)&lt;&gt;ROW())*((($G$3:$G$62=I59)+($H$3:$H$62=I59)+($I$3:$I$62=I59)+($J$3:$J$62=I59))&gt;0))&gt;0),COUNTIFS('Work Activity'!$C$3:$C$89,$A59,'Work Activity'!$G$3:$G$89,I59,'Work Activity'!$A$3:$A$89,"&lt;&gt;"&amp;$D59)&gt;0),"YELLOW: "&amp;I59&amp;" punya deadline project lain pada tanggal yang sama. ","")&amp;IF(AND(J59&lt;&gt;"",SUMPRODUCT(($A$3:$A$62=$A59)*($B$3:$B$62&lt;$C59)*($C$3:$C$62&gt;$B59)*(ROW($A$3:$A$62)&lt;&gt;ROW())*((($G$3:$G$62=J59)+($H$3:$H$62=J59)+($I$3:$I$62=J59)+($J$3:$J$62=J59))&gt;0))&gt;0),"RED: "&amp;J59&amp;" bentrok meeting. ","")&amp;IF(AND(J59&lt;&gt;"",NOT(SUMPRODUCT(($A$3:$A$62=$A59)*($B$3:$B$62&lt;$C59)*($C$3:$C$62&gt;$B59)*(ROW($A$3:$A$62)&lt;&gt;ROW())*((($G$3:$G$62=J59)+($H$3:$H$62=J59)+($I$3:$I$62=J59)+($J$3:$J$62=J59))&gt;0))&gt;0),COUNTIFS('Work Activity'!$C$3:$C$89,$A59,'Work Activity'!$G$3:$G$89,J59,'Work Activity'!$A$3:$A$89,"&lt;&gt;"&amp;$D59)&gt;0),"YELLOW: "&amp;J59&amp;" punya deadline project lain pada tanggal yang sama. ",""))</f>
        <v/>
      </c>
      <c r="O59" t="str">
        <f t="shared" si="1"/>
        <v/>
      </c>
    </row>
    <row r="60" spans="1:15">
      <c r="A60" s="9"/>
      <c r="B60" s="12"/>
      <c r="C60" s="12"/>
      <c r="E60" t="str">
        <f>IFERROR(INDEX(Setup!$I$3:$I$17,MATCH($D60,Setup!$H$3:$H$17,0)),"")</f>
        <v/>
      </c>
      <c r="L60" t="str">
        <f>IF(OR(AND(G60&lt;&gt;"",SUMPRODUCT(($A$3:$A$62=$A60)*($B$3:$B$62&lt;$C60)*($C$3:$C$62&gt;$B60)*(ROW($A$3:$A$62)&lt;&gt;ROW())*((($G$3:$G$62=G60)+($H$3:$H$62=G60)+($I$3:$I$62=G60)+($J$3:$J$62=G60))&gt;0))&gt;0),AND(H60&lt;&gt;"",SUMPRODUCT(($A$3:$A$62=$A60)*($B$3:$B$62&lt;$C60)*($C$3:$C$62&gt;$B60)*(ROW($A$3:$A$62)&lt;&gt;ROW())*((($G$3:$G$62=H60)+($H$3:$H$62=H60)+($I$3:$I$62=H60)+($J$3:$J$62=H60))&gt;0))&gt;0),AND(I60&lt;&gt;"",SUMPRODUCT(($A$3:$A$62=$A60)*($B$3:$B$62&lt;$C60)*($C$3:$C$62&gt;$B60)*(ROW($A$3:$A$62)&lt;&gt;ROW())*((($G$3:$G$62=I60)+($H$3:$H$62=I60)+($I$3:$I$62=I60)+($J$3:$J$62=I60))&gt;0))&gt;0),AND(J60&lt;&gt;"",SUMPRODUCT(($A$3:$A$62=$A60)*($B$3:$B$62&lt;$C60)*($C$3:$C$62&gt;$B60)*(ROW($A$3:$A$62)&lt;&gt;ROW())*((($G$3:$G$62=J60)+($H$3:$H$62=J60)+($I$3:$I$62=J60)+($J$3:$J$62=J60))&gt;0))&gt;0)),"RED - MEETING CLASH",IF(OR(AND(G60&lt;&gt;"",COUNTIFS('Work Activity'!$C$3:$C$89,$A60,'Work Activity'!$G$3:$G$89,G60,'Work Activity'!$A$3:$A$89,"&lt;&gt;"&amp;$D60)&gt;0),AND(H60&lt;&gt;"",COUNTIFS('Work Activity'!$C$3:$C$89,$A60,'Work Activity'!$G$3:$G$89,H60,'Work Activity'!$A$3:$A$89,"&lt;&gt;"&amp;$D60)&gt;0),AND(I60&lt;&gt;"",COUNTIFS('Work Activity'!$C$3:$C$89,$A60,'Work Activity'!$G$3:$G$89,I60,'Work Activity'!$A$3:$A$89,"&lt;&gt;"&amp;$D60)&gt;0),AND(J60&lt;&gt;"",COUNTIFS('Work Activity'!$C$3:$C$89,$A60,'Work Activity'!$G$3:$G$89,J60,'Work Activity'!$A$3:$A$89,"&lt;&gt;"&amp;$D60)&gt;0)),"YELLOW - DEADLINE CHECK","CLEAR"))</f>
        <v>CLEAR</v>
      </c>
      <c r="M60" t="str">
        <f>TRIM(IF(AND(G60&lt;&gt;"",SUMPRODUCT(($A$3:$A$62=$A60)*($B$3:$B$62&lt;$C60)*($C$3:$C$62&gt;$B60)*(ROW($A$3:$A$62)&lt;&gt;ROW())*((($G$3:$G$62=G60)+($H$3:$H$62=G60)+($I$3:$I$62=G60)+($J$3:$J$62=G60))&gt;0))&gt;0),"RED: "&amp;G60&amp;" bentrok meeting. ","")&amp;IF(AND(G60&lt;&gt;"",NOT(SUMPRODUCT(($A$3:$A$62=$A60)*($B$3:$B$62&lt;$C60)*($C$3:$C$62&gt;$B60)*(ROW($A$3:$A$62)&lt;&gt;ROW())*((($G$3:$G$62=G60)+($H$3:$H$62=G60)+($I$3:$I$62=G60)+($J$3:$J$62=G60))&gt;0))&gt;0),COUNTIFS('Work Activity'!$C$3:$C$89,$A60,'Work Activity'!$G$3:$G$89,G60,'Work Activity'!$A$3:$A$89,"&lt;&gt;"&amp;$D60)&gt;0),"YELLOW: "&amp;G60&amp;" punya deadline project lain pada tanggal yang sama. ","")&amp;IF(AND(H60&lt;&gt;"",SUMPRODUCT(($A$3:$A$62=$A60)*($B$3:$B$62&lt;$C60)*($C$3:$C$62&gt;$B60)*(ROW($A$3:$A$62)&lt;&gt;ROW())*((($G$3:$G$62=H60)+($H$3:$H$62=H60)+($I$3:$I$62=H60)+($J$3:$J$62=H60))&gt;0))&gt;0),"RED: "&amp;H60&amp;" bentrok meeting. ","")&amp;IF(AND(H60&lt;&gt;"",NOT(SUMPRODUCT(($A$3:$A$62=$A60)*($B$3:$B$62&lt;$C60)*($C$3:$C$62&gt;$B60)*(ROW($A$3:$A$62)&lt;&gt;ROW())*((($G$3:$G$62=H60)+($H$3:$H$62=H60)+($I$3:$I$62=H60)+($J$3:$J$62=H60))&gt;0))&gt;0),COUNTIFS('Work Activity'!$C$3:$C$89,$A60,'Work Activity'!$G$3:$G$89,H60,'Work Activity'!$A$3:$A$89,"&lt;&gt;"&amp;$D60)&gt;0),"YELLOW: "&amp;H60&amp;" punya deadline project lain pada tanggal yang sama. ","")&amp;IF(AND(I60&lt;&gt;"",SUMPRODUCT(($A$3:$A$62=$A60)*($B$3:$B$62&lt;$C60)*($C$3:$C$62&gt;$B60)*(ROW($A$3:$A$62)&lt;&gt;ROW())*((($G$3:$G$62=I60)+($H$3:$H$62=I60)+($I$3:$I$62=I60)+($J$3:$J$62=I60))&gt;0))&gt;0),"RED: "&amp;I60&amp;" bentrok meeting. ","")&amp;IF(AND(I60&lt;&gt;"",NOT(SUMPRODUCT(($A$3:$A$62=$A60)*($B$3:$B$62&lt;$C60)*($C$3:$C$62&gt;$B60)*(ROW($A$3:$A$62)&lt;&gt;ROW())*((($G$3:$G$62=I60)+($H$3:$H$62=I60)+($I$3:$I$62=I60)+($J$3:$J$62=I60))&gt;0))&gt;0),COUNTIFS('Work Activity'!$C$3:$C$89,$A60,'Work Activity'!$G$3:$G$89,I60,'Work Activity'!$A$3:$A$89,"&lt;&gt;"&amp;$D60)&gt;0),"YELLOW: "&amp;I60&amp;" punya deadline project lain pada tanggal yang sama. ","")&amp;IF(AND(J60&lt;&gt;"",SUMPRODUCT(($A$3:$A$62=$A60)*($B$3:$B$62&lt;$C60)*($C$3:$C$62&gt;$B60)*(ROW($A$3:$A$62)&lt;&gt;ROW())*((($G$3:$G$62=J60)+($H$3:$H$62=J60)+($I$3:$I$62=J60)+($J$3:$J$62=J60))&gt;0))&gt;0),"RED: "&amp;J60&amp;" bentrok meeting. ","")&amp;IF(AND(J60&lt;&gt;"",NOT(SUMPRODUCT(($A$3:$A$62=$A60)*($B$3:$B$62&lt;$C60)*($C$3:$C$62&gt;$B60)*(ROW($A$3:$A$62)&lt;&gt;ROW())*((($G$3:$G$62=J60)+($H$3:$H$62=J60)+($I$3:$I$62=J60)+($J$3:$J$62=J60))&gt;0))&gt;0),COUNTIFS('Work Activity'!$C$3:$C$89,$A60,'Work Activity'!$G$3:$G$89,J60,'Work Activity'!$A$3:$A$89,"&lt;&gt;"&amp;$D60)&gt;0),"YELLOW: "&amp;J60&amp;" punya deadline project lain pada tanggal yang sama. ",""))</f>
        <v/>
      </c>
      <c r="O60" t="str">
        <f t="shared" si="1"/>
        <v/>
      </c>
    </row>
    <row r="61" spans="1:15">
      <c r="A61" s="9"/>
      <c r="B61" s="12"/>
      <c r="C61" s="12"/>
      <c r="E61" t="str">
        <f>IFERROR(INDEX(Setup!$I$3:$I$17,MATCH($D61,Setup!$H$3:$H$17,0)),"")</f>
        <v/>
      </c>
      <c r="L61" t="str">
        <f>IF(OR(AND(G61&lt;&gt;"",SUMPRODUCT(($A$3:$A$62=$A61)*($B$3:$B$62&lt;$C61)*($C$3:$C$62&gt;$B61)*(ROW($A$3:$A$62)&lt;&gt;ROW())*((($G$3:$G$62=G61)+($H$3:$H$62=G61)+($I$3:$I$62=G61)+($J$3:$J$62=G61))&gt;0))&gt;0),AND(H61&lt;&gt;"",SUMPRODUCT(($A$3:$A$62=$A61)*($B$3:$B$62&lt;$C61)*($C$3:$C$62&gt;$B61)*(ROW($A$3:$A$62)&lt;&gt;ROW())*((($G$3:$G$62=H61)+($H$3:$H$62=H61)+($I$3:$I$62=H61)+($J$3:$J$62=H61))&gt;0))&gt;0),AND(I61&lt;&gt;"",SUMPRODUCT(($A$3:$A$62=$A61)*($B$3:$B$62&lt;$C61)*($C$3:$C$62&gt;$B61)*(ROW($A$3:$A$62)&lt;&gt;ROW())*((($G$3:$G$62=I61)+($H$3:$H$62=I61)+($I$3:$I$62=I61)+($J$3:$J$62=I61))&gt;0))&gt;0),AND(J61&lt;&gt;"",SUMPRODUCT(($A$3:$A$62=$A61)*($B$3:$B$62&lt;$C61)*($C$3:$C$62&gt;$B61)*(ROW($A$3:$A$62)&lt;&gt;ROW())*((($G$3:$G$62=J61)+($H$3:$H$62=J61)+($I$3:$I$62=J61)+($J$3:$J$62=J61))&gt;0))&gt;0)),"RED - MEETING CLASH",IF(OR(AND(G61&lt;&gt;"",COUNTIFS('Work Activity'!$C$3:$C$89,$A61,'Work Activity'!$G$3:$G$89,G61,'Work Activity'!$A$3:$A$89,"&lt;&gt;"&amp;$D61)&gt;0),AND(H61&lt;&gt;"",COUNTIFS('Work Activity'!$C$3:$C$89,$A61,'Work Activity'!$G$3:$G$89,H61,'Work Activity'!$A$3:$A$89,"&lt;&gt;"&amp;$D61)&gt;0),AND(I61&lt;&gt;"",COUNTIFS('Work Activity'!$C$3:$C$89,$A61,'Work Activity'!$G$3:$G$89,I61,'Work Activity'!$A$3:$A$89,"&lt;&gt;"&amp;$D61)&gt;0),AND(J61&lt;&gt;"",COUNTIFS('Work Activity'!$C$3:$C$89,$A61,'Work Activity'!$G$3:$G$89,J61,'Work Activity'!$A$3:$A$89,"&lt;&gt;"&amp;$D61)&gt;0)),"YELLOW - DEADLINE CHECK","CLEAR"))</f>
        <v>CLEAR</v>
      </c>
      <c r="M61" t="str">
        <f>TRIM(IF(AND(G61&lt;&gt;"",SUMPRODUCT(($A$3:$A$62=$A61)*($B$3:$B$62&lt;$C61)*($C$3:$C$62&gt;$B61)*(ROW($A$3:$A$62)&lt;&gt;ROW())*((($G$3:$G$62=G61)+($H$3:$H$62=G61)+($I$3:$I$62=G61)+($J$3:$J$62=G61))&gt;0))&gt;0),"RED: "&amp;G61&amp;" bentrok meeting. ","")&amp;IF(AND(G61&lt;&gt;"",NOT(SUMPRODUCT(($A$3:$A$62=$A61)*($B$3:$B$62&lt;$C61)*($C$3:$C$62&gt;$B61)*(ROW($A$3:$A$62)&lt;&gt;ROW())*((($G$3:$G$62=G61)+($H$3:$H$62=G61)+($I$3:$I$62=G61)+($J$3:$J$62=G61))&gt;0))&gt;0),COUNTIFS('Work Activity'!$C$3:$C$89,$A61,'Work Activity'!$G$3:$G$89,G61,'Work Activity'!$A$3:$A$89,"&lt;&gt;"&amp;$D61)&gt;0),"YELLOW: "&amp;G61&amp;" punya deadline project lain pada tanggal yang sama. ","")&amp;IF(AND(H61&lt;&gt;"",SUMPRODUCT(($A$3:$A$62=$A61)*($B$3:$B$62&lt;$C61)*($C$3:$C$62&gt;$B61)*(ROW($A$3:$A$62)&lt;&gt;ROW())*((($G$3:$G$62=H61)+($H$3:$H$62=H61)+($I$3:$I$62=H61)+($J$3:$J$62=H61))&gt;0))&gt;0),"RED: "&amp;H61&amp;" bentrok meeting. ","")&amp;IF(AND(H61&lt;&gt;"",NOT(SUMPRODUCT(($A$3:$A$62=$A61)*($B$3:$B$62&lt;$C61)*($C$3:$C$62&gt;$B61)*(ROW($A$3:$A$62)&lt;&gt;ROW())*((($G$3:$G$62=H61)+($H$3:$H$62=H61)+($I$3:$I$62=H61)+($J$3:$J$62=H61))&gt;0))&gt;0),COUNTIFS('Work Activity'!$C$3:$C$89,$A61,'Work Activity'!$G$3:$G$89,H61,'Work Activity'!$A$3:$A$89,"&lt;&gt;"&amp;$D61)&gt;0),"YELLOW: "&amp;H61&amp;" punya deadline project lain pada tanggal yang sama. ","")&amp;IF(AND(I61&lt;&gt;"",SUMPRODUCT(($A$3:$A$62=$A61)*($B$3:$B$62&lt;$C61)*($C$3:$C$62&gt;$B61)*(ROW($A$3:$A$62)&lt;&gt;ROW())*((($G$3:$G$62=I61)+($H$3:$H$62=I61)+($I$3:$I$62=I61)+($J$3:$J$62=I61))&gt;0))&gt;0),"RED: "&amp;I61&amp;" bentrok meeting. ","")&amp;IF(AND(I61&lt;&gt;"",NOT(SUMPRODUCT(($A$3:$A$62=$A61)*($B$3:$B$62&lt;$C61)*($C$3:$C$62&gt;$B61)*(ROW($A$3:$A$62)&lt;&gt;ROW())*((($G$3:$G$62=I61)+($H$3:$H$62=I61)+($I$3:$I$62=I61)+($J$3:$J$62=I61))&gt;0))&gt;0),COUNTIFS('Work Activity'!$C$3:$C$89,$A61,'Work Activity'!$G$3:$G$89,I61,'Work Activity'!$A$3:$A$89,"&lt;&gt;"&amp;$D61)&gt;0),"YELLOW: "&amp;I61&amp;" punya deadline project lain pada tanggal yang sama. ","")&amp;IF(AND(J61&lt;&gt;"",SUMPRODUCT(($A$3:$A$62=$A61)*($B$3:$B$62&lt;$C61)*($C$3:$C$62&gt;$B61)*(ROW($A$3:$A$62)&lt;&gt;ROW())*((($G$3:$G$62=J61)+($H$3:$H$62=J61)+($I$3:$I$62=J61)+($J$3:$J$62=J61))&gt;0))&gt;0),"RED: "&amp;J61&amp;" bentrok meeting. ","")&amp;IF(AND(J61&lt;&gt;"",NOT(SUMPRODUCT(($A$3:$A$62=$A61)*($B$3:$B$62&lt;$C61)*($C$3:$C$62&gt;$B61)*(ROW($A$3:$A$62)&lt;&gt;ROW())*((($G$3:$G$62=J61)+($H$3:$H$62=J61)+($I$3:$I$62=J61)+($J$3:$J$62=J61))&gt;0))&gt;0),COUNTIFS('Work Activity'!$C$3:$C$89,$A61,'Work Activity'!$G$3:$G$89,J61,'Work Activity'!$A$3:$A$89,"&lt;&gt;"&amp;$D61)&gt;0),"YELLOW: "&amp;J61&amp;" punya deadline project lain pada tanggal yang sama. ",""))</f>
        <v/>
      </c>
      <c r="O61" t="str">
        <f t="shared" si="1"/>
        <v/>
      </c>
    </row>
    <row r="62" spans="1:15">
      <c r="A62" s="9"/>
      <c r="B62" s="12"/>
      <c r="C62" s="12"/>
      <c r="E62" t="str">
        <f>IFERROR(INDEX(Setup!$I$3:$I$17,MATCH($D62,Setup!$H$3:$H$17,0)),"")</f>
        <v/>
      </c>
      <c r="L62" t="str">
        <f>IF(OR(AND(G62&lt;&gt;"",SUMPRODUCT(($A$3:$A$62=$A62)*($B$3:$B$62&lt;$C62)*($C$3:$C$62&gt;$B62)*(ROW($A$3:$A$62)&lt;&gt;ROW())*((($G$3:$G$62=G62)+($H$3:$H$62=G62)+($I$3:$I$62=G62)+($J$3:$J$62=G62))&gt;0))&gt;0),AND(H62&lt;&gt;"",SUMPRODUCT(($A$3:$A$62=$A62)*($B$3:$B$62&lt;$C62)*($C$3:$C$62&gt;$B62)*(ROW($A$3:$A$62)&lt;&gt;ROW())*((($G$3:$G$62=H62)+($H$3:$H$62=H62)+($I$3:$I$62=H62)+($J$3:$J$62=H62))&gt;0))&gt;0),AND(I62&lt;&gt;"",SUMPRODUCT(($A$3:$A$62=$A62)*($B$3:$B$62&lt;$C62)*($C$3:$C$62&gt;$B62)*(ROW($A$3:$A$62)&lt;&gt;ROW())*((($G$3:$G$62=I62)+($H$3:$H$62=I62)+($I$3:$I$62=I62)+($J$3:$J$62=I62))&gt;0))&gt;0),AND(J62&lt;&gt;"",SUMPRODUCT(($A$3:$A$62=$A62)*($B$3:$B$62&lt;$C62)*($C$3:$C$62&gt;$B62)*(ROW($A$3:$A$62)&lt;&gt;ROW())*((($G$3:$G$62=J62)+($H$3:$H$62=J62)+($I$3:$I$62=J62)+($J$3:$J$62=J62))&gt;0))&gt;0)),"RED - MEETING CLASH",IF(OR(AND(G62&lt;&gt;"",COUNTIFS('Work Activity'!$C$3:$C$89,$A62,'Work Activity'!$G$3:$G$89,G62,'Work Activity'!$A$3:$A$89,"&lt;&gt;"&amp;$D62)&gt;0),AND(H62&lt;&gt;"",COUNTIFS('Work Activity'!$C$3:$C$89,$A62,'Work Activity'!$G$3:$G$89,H62,'Work Activity'!$A$3:$A$89,"&lt;&gt;"&amp;$D62)&gt;0),AND(I62&lt;&gt;"",COUNTIFS('Work Activity'!$C$3:$C$89,$A62,'Work Activity'!$G$3:$G$89,I62,'Work Activity'!$A$3:$A$89,"&lt;&gt;"&amp;$D62)&gt;0),AND(J62&lt;&gt;"",COUNTIFS('Work Activity'!$C$3:$C$89,$A62,'Work Activity'!$G$3:$G$89,J62,'Work Activity'!$A$3:$A$89,"&lt;&gt;"&amp;$D62)&gt;0)),"YELLOW - DEADLINE CHECK","CLEAR"))</f>
        <v>CLEAR</v>
      </c>
      <c r="M62" t="str">
        <f>TRIM(IF(AND(G62&lt;&gt;"",SUMPRODUCT(($A$3:$A$62=$A62)*($B$3:$B$62&lt;$C62)*($C$3:$C$62&gt;$B62)*(ROW($A$3:$A$62)&lt;&gt;ROW())*((($G$3:$G$62=G62)+($H$3:$H$62=G62)+($I$3:$I$62=G62)+($J$3:$J$62=G62))&gt;0))&gt;0),"RED: "&amp;G62&amp;" bentrok meeting. ","")&amp;IF(AND(G62&lt;&gt;"",NOT(SUMPRODUCT(($A$3:$A$62=$A62)*($B$3:$B$62&lt;$C62)*($C$3:$C$62&gt;$B62)*(ROW($A$3:$A$62)&lt;&gt;ROW())*((($G$3:$G$62=G62)+($H$3:$H$62=G62)+($I$3:$I$62=G62)+($J$3:$J$62=G62))&gt;0))&gt;0),COUNTIFS('Work Activity'!$C$3:$C$89,$A62,'Work Activity'!$G$3:$G$89,G62,'Work Activity'!$A$3:$A$89,"&lt;&gt;"&amp;$D62)&gt;0),"YELLOW: "&amp;G62&amp;" punya deadline project lain pada tanggal yang sama. ","")&amp;IF(AND(H62&lt;&gt;"",SUMPRODUCT(($A$3:$A$62=$A62)*($B$3:$B$62&lt;$C62)*($C$3:$C$62&gt;$B62)*(ROW($A$3:$A$62)&lt;&gt;ROW())*((($G$3:$G$62=H62)+($H$3:$H$62=H62)+($I$3:$I$62=H62)+($J$3:$J$62=H62))&gt;0))&gt;0),"RED: "&amp;H62&amp;" bentrok meeting. ","")&amp;IF(AND(H62&lt;&gt;"",NOT(SUMPRODUCT(($A$3:$A$62=$A62)*($B$3:$B$62&lt;$C62)*($C$3:$C$62&gt;$B62)*(ROW($A$3:$A$62)&lt;&gt;ROW())*((($G$3:$G$62=H62)+($H$3:$H$62=H62)+($I$3:$I$62=H62)+($J$3:$J$62=H62))&gt;0))&gt;0),COUNTIFS('Work Activity'!$C$3:$C$89,$A62,'Work Activity'!$G$3:$G$89,H62,'Work Activity'!$A$3:$A$89,"&lt;&gt;"&amp;$D62)&gt;0),"YELLOW: "&amp;H62&amp;" punya deadline project lain pada tanggal yang sama. ","")&amp;IF(AND(I62&lt;&gt;"",SUMPRODUCT(($A$3:$A$62=$A62)*($B$3:$B$62&lt;$C62)*($C$3:$C$62&gt;$B62)*(ROW($A$3:$A$62)&lt;&gt;ROW())*((($G$3:$G$62=I62)+($H$3:$H$62=I62)+($I$3:$I$62=I62)+($J$3:$J$62=I62))&gt;0))&gt;0),"RED: "&amp;I62&amp;" bentrok meeting. ","")&amp;IF(AND(I62&lt;&gt;"",NOT(SUMPRODUCT(($A$3:$A$62=$A62)*($B$3:$B$62&lt;$C62)*($C$3:$C$62&gt;$B62)*(ROW($A$3:$A$62)&lt;&gt;ROW())*((($G$3:$G$62=I62)+($H$3:$H$62=I62)+($I$3:$I$62=I62)+($J$3:$J$62=I62))&gt;0))&gt;0),COUNTIFS('Work Activity'!$C$3:$C$89,$A62,'Work Activity'!$G$3:$G$89,I62,'Work Activity'!$A$3:$A$89,"&lt;&gt;"&amp;$D62)&gt;0),"YELLOW: "&amp;I62&amp;" punya deadline project lain pada tanggal yang sama. ","")&amp;IF(AND(J62&lt;&gt;"",SUMPRODUCT(($A$3:$A$62=$A62)*($B$3:$B$62&lt;$C62)*($C$3:$C$62&gt;$B62)*(ROW($A$3:$A$62)&lt;&gt;ROW())*((($G$3:$G$62=J62)+($H$3:$H$62=J62)+($I$3:$I$62=J62)+($J$3:$J$62=J62))&gt;0))&gt;0),"RED: "&amp;J62&amp;" bentrok meeting. ","")&amp;IF(AND(J62&lt;&gt;"",NOT(SUMPRODUCT(($A$3:$A$62=$A62)*($B$3:$B$62&lt;$C62)*($C$3:$C$62&gt;$B62)*(ROW($A$3:$A$62)&lt;&gt;ROW())*((($G$3:$G$62=J62)+($H$3:$H$62=J62)+($I$3:$I$62=J62)+($J$3:$J$62=J62))&gt;0))&gt;0),COUNTIFS('Work Activity'!$C$3:$C$89,$A62,'Work Activity'!$G$3:$G$89,J62,'Work Activity'!$A$3:$A$89,"&lt;&gt;"&amp;$D62)&gt;0),"YELLOW: "&amp;J62&amp;" punya deadline project lain pada tanggal yang sama. ",""))</f>
        <v/>
      </c>
      <c r="O62" t="str">
        <f t="shared" si="1"/>
        <v/>
      </c>
    </row>
  </sheetData>
  <mergeCells count="1">
    <mergeCell ref="A1:O1"/>
  </mergeCells>
  <conditionalFormatting sqref="G3:G5 G7:G62">
    <cfRule type="expression" dxfId="125" priority="8">
      <formula>AND(G3&lt;&gt;"",SUMPRODUCT(($A$3:$A$62=$A3)*($B$3:$B$62&lt;$C3)*($C$3:$C$62&gt;$B3)*(ROW($A$3:$A$62)&lt;&gt;ROW())*((($G$3:$G$62=G3)+($H$3:$H$62=G3)+($I$3:$I$62=G3)+($J$3:$J$62=G3))&gt;0))&gt;0)</formula>
    </cfRule>
  </conditionalFormatting>
  <conditionalFormatting sqref="H3:H5 H7:H62">
    <cfRule type="expression" dxfId="124" priority="10">
      <formula>AND(H3&lt;&gt;"",SUMPRODUCT(($A$3:$A$62=$A3)*($B$3:$B$62&lt;$C3)*($C$3:$C$62&gt;$B3)*(ROW($A$3:$A$62)&lt;&gt;ROW())*((($G$3:$G$62=H3)+($H$3:$H$62=H3)+($I$3:$I$62=H3)+($J$3:$J$62=H3))&gt;0))&gt;0)</formula>
    </cfRule>
  </conditionalFormatting>
  <conditionalFormatting sqref="I3:I5 I7:I62">
    <cfRule type="expression" dxfId="123" priority="12">
      <formula>AND(I3&lt;&gt;"",SUMPRODUCT(($A$3:$A$62=$A3)*($B$3:$B$62&lt;$C3)*($C$3:$C$62&gt;$B3)*(ROW($A$3:$A$62)&lt;&gt;ROW())*((($G$3:$G$62=I3)+($H$3:$H$62=I3)+($I$3:$I$62=I3)+($J$3:$J$62=I3))&gt;0))&gt;0)</formula>
    </cfRule>
  </conditionalFormatting>
  <conditionalFormatting sqref="J3:J5 J7:J62">
    <cfRule type="expression" dxfId="122" priority="14">
      <formula>AND(J3&lt;&gt;"",SUMPRODUCT(($A$3:$A$62=$A3)*($B$3:$B$62&lt;$C3)*($C$3:$C$62&gt;$B3)*(ROW($A$3:$A$62)&lt;&gt;ROW())*((($G$3:$G$62=J3)+($H$3:$H$62=J3)+($I$3:$I$62=J3)+($J$3:$J$62=J3))&gt;0))&gt;0)</formula>
    </cfRule>
  </conditionalFormatting>
  <conditionalFormatting sqref="L3:L5 L7:L62">
    <cfRule type="expression" dxfId="121" priority="16">
      <formula>LEFT(L3,3)="RED"</formula>
    </cfRule>
    <cfRule type="expression" dxfId="120" priority="17">
      <formula>LEFT(L3,6)="YELLOW"</formula>
    </cfRule>
    <cfRule type="expression" dxfId="119" priority="18">
      <formula>L3="CLEAR"</formula>
    </cfRule>
  </conditionalFormatting>
  <conditionalFormatting sqref="G6">
    <cfRule type="expression" dxfId="118" priority="1">
      <formula>AND(G6&lt;&gt;"",SUMPRODUCT(($A$3:$A$62=$A6)*($B$3:$B$62&lt;$C6)*($C$3:$C$62&gt;$B6)*(ROW($A$3:$A$62)&lt;&gt;ROW())*((($G$3:$G$62=G6)+($H$3:$H$62=G6)+($I$3:$I$62=G6)+($J$3:$J$62=G6))&gt;0))&gt;0)</formula>
    </cfRule>
  </conditionalFormatting>
  <conditionalFormatting sqref="H6">
    <cfRule type="expression" dxfId="117" priority="2">
      <formula>AND(H6&lt;&gt;"",SUMPRODUCT(($A$3:$A$62=$A6)*($B$3:$B$62&lt;$C6)*($C$3:$C$62&gt;$B6)*(ROW($A$3:$A$62)&lt;&gt;ROW())*((($G$3:$G$62=H6)+($H$3:$H$62=H6)+($I$3:$I$62=H6)+($J$3:$J$62=H6))&gt;0))&gt;0)</formula>
    </cfRule>
  </conditionalFormatting>
  <conditionalFormatting sqref="I6">
    <cfRule type="expression" dxfId="116" priority="3">
      <formula>AND(I6&lt;&gt;"",SUMPRODUCT(($A$3:$A$62=$A6)*($B$3:$B$62&lt;$C6)*($C$3:$C$62&gt;$B6)*(ROW($A$3:$A$62)&lt;&gt;ROW())*((($G$3:$G$62=I6)+($H$3:$H$62=I6)+($I$3:$I$62=I6)+($J$3:$J$62=I6))&gt;0))&gt;0)</formula>
    </cfRule>
  </conditionalFormatting>
  <conditionalFormatting sqref="J6">
    <cfRule type="expression" dxfId="115" priority="4">
      <formula>AND(J6&lt;&gt;"",SUMPRODUCT(($A$3:$A$62=$A6)*($B$3:$B$62&lt;$C6)*($C$3:$C$62&gt;$B6)*(ROW($A$3:$A$62)&lt;&gt;ROW())*((($G$3:$G$62=J6)+($H$3:$H$62=J6)+($I$3:$I$62=J6)+($J$3:$J$62=J6))&gt;0))&gt;0)</formula>
    </cfRule>
  </conditionalFormatting>
  <conditionalFormatting sqref="L6">
    <cfRule type="expression" dxfId="114" priority="5">
      <formula>LEFT(L6,3)="RED"</formula>
    </cfRule>
    <cfRule type="expression" dxfId="113" priority="6">
      <formula>LEFT(L6,6)="YELLOW"</formula>
    </cfRule>
    <cfRule type="expression" dxfId="112" priority="7">
      <formula>L6="CLEAR"</formula>
    </cfRule>
  </conditionalFormatting>
  <dataValidations count="4">
    <dataValidation type="list" allowBlank="1" sqref="D3:D200" xr:uid="{00000000-0002-0000-0400-000000000000}">
      <formula1>DV_ProjectID</formula1>
    </dataValidation>
    <dataValidation type="list" allowBlank="1" sqref="F3:F200" xr:uid="{00000000-0002-0000-0400-000001000000}">
      <formula1>DV_MeetingType</formula1>
    </dataValidation>
    <dataValidation type="list" allowBlank="1" sqref="G3:J200" xr:uid="{00000000-0002-0000-0400-000002000000}">
      <formula1>DV_Staff</formula1>
    </dataValidation>
    <dataValidation type="list" allowBlank="1" sqref="K3:K200" xr:uid="{00000000-0002-0000-0400-000003000000}">
      <formula1>DV_MeetingLocation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2"/>
  <sheetViews>
    <sheetView workbookViewId="0">
      <pane ySplit="2" topLeftCell="A3" activePane="bottomLeft" state="frozen"/>
      <selection pane="bottomLeft" activeCell="D7" sqref="D7"/>
    </sheetView>
  </sheetViews>
  <sheetFormatPr defaultRowHeight="14"/>
  <cols>
    <col min="1" max="1" width="18" style="18" customWidth="1"/>
    <col min="2" max="2" width="36" style="18" customWidth="1"/>
    <col min="3" max="3" width="20" style="18" customWidth="1"/>
    <col min="4" max="4" width="32" style="18" customWidth="1"/>
    <col min="5" max="5" width="3" style="18" customWidth="1"/>
  </cols>
  <sheetData>
    <row r="1" spans="1:5" ht="19" customHeight="1">
      <c r="A1" s="71" t="s">
        <v>268</v>
      </c>
      <c r="B1" s="67"/>
      <c r="C1" s="67"/>
      <c r="D1" s="67"/>
      <c r="E1" s="67"/>
    </row>
    <row r="2" spans="1:5">
      <c r="A2" s="1" t="s">
        <v>182</v>
      </c>
      <c r="B2" s="1" t="s">
        <v>192</v>
      </c>
      <c r="C2" s="1" t="s">
        <v>193</v>
      </c>
      <c r="D2" s="1" t="s">
        <v>35</v>
      </c>
      <c r="E2" s="8" t="s">
        <v>178</v>
      </c>
    </row>
    <row r="3" spans="1:5">
      <c r="A3" s="31"/>
      <c r="B3"/>
      <c r="C3"/>
      <c r="D3"/>
      <c r="E3" s="8" t="str">
        <f t="shared" ref="E3:E34" si="0">IF(OR(A3="",B3=""),"","OTHER-"&amp;TEXT(A3,"yyyymmdd")&amp;"-"&amp;TEXT(ROW(),"000"))</f>
        <v/>
      </c>
    </row>
    <row r="4" spans="1:5">
      <c r="A4" s="31"/>
      <c r="B4"/>
      <c r="C4"/>
      <c r="D4"/>
      <c r="E4" s="8" t="str">
        <f t="shared" si="0"/>
        <v/>
      </c>
    </row>
    <row r="5" spans="1:5">
      <c r="A5" s="31"/>
      <c r="B5"/>
      <c r="C5"/>
      <c r="D5"/>
      <c r="E5" s="8" t="str">
        <f t="shared" si="0"/>
        <v/>
      </c>
    </row>
    <row r="6" spans="1:5">
      <c r="A6" s="31"/>
      <c r="B6"/>
      <c r="C6"/>
      <c r="D6"/>
      <c r="E6" s="8" t="str">
        <f t="shared" si="0"/>
        <v/>
      </c>
    </row>
    <row r="7" spans="1:5">
      <c r="A7" s="31"/>
      <c r="B7"/>
      <c r="C7"/>
      <c r="D7"/>
      <c r="E7" s="8" t="str">
        <f t="shared" si="0"/>
        <v/>
      </c>
    </row>
    <row r="8" spans="1:5">
      <c r="A8" s="31"/>
      <c r="B8"/>
      <c r="C8"/>
      <c r="D8"/>
      <c r="E8" s="8" t="str">
        <f t="shared" si="0"/>
        <v/>
      </c>
    </row>
    <row r="9" spans="1:5">
      <c r="A9" s="31"/>
      <c r="B9"/>
      <c r="C9"/>
      <c r="D9"/>
      <c r="E9" s="8" t="str">
        <f t="shared" si="0"/>
        <v/>
      </c>
    </row>
    <row r="10" spans="1:5">
      <c r="A10" s="31"/>
      <c r="B10"/>
      <c r="C10"/>
      <c r="D10"/>
      <c r="E10" s="8" t="str">
        <f t="shared" si="0"/>
        <v/>
      </c>
    </row>
    <row r="11" spans="1:5">
      <c r="A11" s="31"/>
      <c r="B11"/>
      <c r="C11"/>
      <c r="D11"/>
      <c r="E11" s="8" t="str">
        <f t="shared" si="0"/>
        <v/>
      </c>
    </row>
    <row r="12" spans="1:5">
      <c r="A12" s="31"/>
      <c r="B12"/>
      <c r="C12"/>
      <c r="D12"/>
      <c r="E12" s="8" t="str">
        <f t="shared" si="0"/>
        <v/>
      </c>
    </row>
    <row r="13" spans="1:5">
      <c r="A13" s="31"/>
      <c r="B13"/>
      <c r="C13"/>
      <c r="D13"/>
      <c r="E13" s="8" t="str">
        <f t="shared" si="0"/>
        <v/>
      </c>
    </row>
    <row r="14" spans="1:5">
      <c r="A14" s="31"/>
      <c r="B14"/>
      <c r="C14"/>
      <c r="D14"/>
      <c r="E14" s="8" t="str">
        <f t="shared" si="0"/>
        <v/>
      </c>
    </row>
    <row r="15" spans="1:5">
      <c r="A15" s="31"/>
      <c r="B15"/>
      <c r="C15"/>
      <c r="D15"/>
      <c r="E15" s="8" t="str">
        <f t="shared" si="0"/>
        <v/>
      </c>
    </row>
    <row r="16" spans="1:5">
      <c r="A16" s="31"/>
      <c r="B16"/>
      <c r="C16"/>
      <c r="D16"/>
      <c r="E16" s="8" t="str">
        <f t="shared" si="0"/>
        <v/>
      </c>
    </row>
    <row r="17" spans="1:5">
      <c r="A17" s="31"/>
      <c r="B17"/>
      <c r="C17"/>
      <c r="D17"/>
      <c r="E17" s="8" t="str">
        <f t="shared" si="0"/>
        <v/>
      </c>
    </row>
    <row r="18" spans="1:5">
      <c r="A18" s="31"/>
      <c r="B18"/>
      <c r="C18"/>
      <c r="D18"/>
      <c r="E18" s="8" t="str">
        <f t="shared" si="0"/>
        <v/>
      </c>
    </row>
    <row r="19" spans="1:5">
      <c r="A19" s="31"/>
      <c r="B19"/>
      <c r="C19"/>
      <c r="D19"/>
      <c r="E19" s="8" t="str">
        <f t="shared" si="0"/>
        <v/>
      </c>
    </row>
    <row r="20" spans="1:5">
      <c r="A20" s="31"/>
      <c r="B20"/>
      <c r="C20"/>
      <c r="D20"/>
      <c r="E20" s="8" t="str">
        <f t="shared" si="0"/>
        <v/>
      </c>
    </row>
    <row r="21" spans="1:5">
      <c r="A21" s="31"/>
      <c r="B21"/>
      <c r="C21"/>
      <c r="D21"/>
      <c r="E21" s="8" t="str">
        <f t="shared" si="0"/>
        <v/>
      </c>
    </row>
    <row r="22" spans="1:5">
      <c r="A22" s="31"/>
      <c r="B22"/>
      <c r="C22"/>
      <c r="D22"/>
      <c r="E22" s="8" t="str">
        <f t="shared" si="0"/>
        <v/>
      </c>
    </row>
    <row r="23" spans="1:5">
      <c r="A23" s="31"/>
      <c r="B23"/>
      <c r="C23"/>
      <c r="D23"/>
      <c r="E23" s="8" t="str">
        <f t="shared" si="0"/>
        <v/>
      </c>
    </row>
    <row r="24" spans="1:5">
      <c r="A24" s="31"/>
      <c r="B24"/>
      <c r="C24"/>
      <c r="D24"/>
      <c r="E24" s="8" t="str">
        <f t="shared" si="0"/>
        <v/>
      </c>
    </row>
    <row r="25" spans="1:5">
      <c r="A25" s="31"/>
      <c r="B25"/>
      <c r="C25"/>
      <c r="D25"/>
      <c r="E25" s="8" t="str">
        <f t="shared" si="0"/>
        <v/>
      </c>
    </row>
    <row r="26" spans="1:5">
      <c r="A26" s="31"/>
      <c r="B26"/>
      <c r="C26"/>
      <c r="D26"/>
      <c r="E26" s="8" t="str">
        <f t="shared" si="0"/>
        <v/>
      </c>
    </row>
    <row r="27" spans="1:5">
      <c r="A27" s="31"/>
      <c r="B27"/>
      <c r="C27"/>
      <c r="D27"/>
      <c r="E27" s="8" t="str">
        <f t="shared" si="0"/>
        <v/>
      </c>
    </row>
    <row r="28" spans="1:5">
      <c r="A28" s="31"/>
      <c r="B28"/>
      <c r="C28"/>
      <c r="D28"/>
      <c r="E28" s="8" t="str">
        <f t="shared" si="0"/>
        <v/>
      </c>
    </row>
    <row r="29" spans="1:5">
      <c r="A29" s="31"/>
      <c r="B29"/>
      <c r="C29"/>
      <c r="D29"/>
      <c r="E29" s="8" t="str">
        <f t="shared" si="0"/>
        <v/>
      </c>
    </row>
    <row r="30" spans="1:5">
      <c r="A30" s="31"/>
      <c r="B30"/>
      <c r="C30"/>
      <c r="D30"/>
      <c r="E30" s="8" t="str">
        <f t="shared" si="0"/>
        <v/>
      </c>
    </row>
    <row r="31" spans="1:5">
      <c r="A31" s="31"/>
      <c r="B31"/>
      <c r="C31"/>
      <c r="D31"/>
      <c r="E31" s="8" t="str">
        <f t="shared" si="0"/>
        <v/>
      </c>
    </row>
    <row r="32" spans="1:5">
      <c r="A32" s="31"/>
      <c r="B32"/>
      <c r="C32"/>
      <c r="D32"/>
      <c r="E32" s="8" t="str">
        <f t="shared" si="0"/>
        <v/>
      </c>
    </row>
    <row r="33" spans="1:5">
      <c r="A33" s="31"/>
      <c r="B33"/>
      <c r="C33"/>
      <c r="D33"/>
      <c r="E33" s="8" t="str">
        <f t="shared" si="0"/>
        <v/>
      </c>
    </row>
    <row r="34" spans="1:5">
      <c r="A34" s="31"/>
      <c r="B34"/>
      <c r="C34"/>
      <c r="D34"/>
      <c r="E34" s="8" t="str">
        <f t="shared" si="0"/>
        <v/>
      </c>
    </row>
    <row r="35" spans="1:5">
      <c r="A35" s="31"/>
      <c r="B35"/>
      <c r="C35"/>
      <c r="D35"/>
      <c r="E35" s="8" t="str">
        <f t="shared" ref="E35:E66" si="1">IF(OR(A35="",B35=""),"","OTHER-"&amp;TEXT(A35,"yyyymmdd")&amp;"-"&amp;TEXT(ROW(),"000"))</f>
        <v/>
      </c>
    </row>
    <row r="36" spans="1:5">
      <c r="A36" s="31"/>
      <c r="B36"/>
      <c r="C36"/>
      <c r="D36"/>
      <c r="E36" s="8" t="str">
        <f t="shared" si="1"/>
        <v/>
      </c>
    </row>
    <row r="37" spans="1:5">
      <c r="A37" s="31"/>
      <c r="B37"/>
      <c r="C37"/>
      <c r="D37"/>
      <c r="E37" s="8" t="str">
        <f t="shared" si="1"/>
        <v/>
      </c>
    </row>
    <row r="38" spans="1:5">
      <c r="A38" s="31"/>
      <c r="B38"/>
      <c r="C38"/>
      <c r="D38"/>
      <c r="E38" s="8" t="str">
        <f t="shared" si="1"/>
        <v/>
      </c>
    </row>
    <row r="39" spans="1:5">
      <c r="A39" s="31"/>
      <c r="B39"/>
      <c r="C39"/>
      <c r="D39"/>
      <c r="E39" s="8" t="str">
        <f t="shared" si="1"/>
        <v/>
      </c>
    </row>
    <row r="40" spans="1:5">
      <c r="A40" s="31"/>
      <c r="B40"/>
      <c r="C40"/>
      <c r="D40"/>
      <c r="E40" s="8" t="str">
        <f t="shared" si="1"/>
        <v/>
      </c>
    </row>
    <row r="41" spans="1:5">
      <c r="A41" s="31"/>
      <c r="B41"/>
      <c r="C41"/>
      <c r="D41"/>
      <c r="E41" s="8" t="str">
        <f t="shared" si="1"/>
        <v/>
      </c>
    </row>
    <row r="42" spans="1:5">
      <c r="A42" s="31"/>
      <c r="B42"/>
      <c r="C42"/>
      <c r="D42"/>
      <c r="E42" s="8" t="str">
        <f t="shared" si="1"/>
        <v/>
      </c>
    </row>
    <row r="43" spans="1:5">
      <c r="A43" s="31"/>
      <c r="B43"/>
      <c r="C43"/>
      <c r="D43"/>
      <c r="E43" s="8" t="str">
        <f t="shared" si="1"/>
        <v/>
      </c>
    </row>
    <row r="44" spans="1:5">
      <c r="A44" s="31"/>
      <c r="B44"/>
      <c r="C44"/>
      <c r="D44"/>
      <c r="E44" s="8" t="str">
        <f t="shared" si="1"/>
        <v/>
      </c>
    </row>
    <row r="45" spans="1:5">
      <c r="A45" s="31"/>
      <c r="B45"/>
      <c r="C45"/>
      <c r="D45"/>
      <c r="E45" s="8" t="str">
        <f t="shared" si="1"/>
        <v/>
      </c>
    </row>
    <row r="46" spans="1:5">
      <c r="A46" s="31"/>
      <c r="B46"/>
      <c r="C46"/>
      <c r="D46"/>
      <c r="E46" s="8" t="str">
        <f t="shared" si="1"/>
        <v/>
      </c>
    </row>
    <row r="47" spans="1:5">
      <c r="A47" s="31"/>
      <c r="B47"/>
      <c r="C47"/>
      <c r="D47"/>
      <c r="E47" s="8" t="str">
        <f t="shared" si="1"/>
        <v/>
      </c>
    </row>
    <row r="48" spans="1:5">
      <c r="A48" s="31"/>
      <c r="B48"/>
      <c r="C48"/>
      <c r="D48"/>
      <c r="E48" s="8" t="str">
        <f t="shared" si="1"/>
        <v/>
      </c>
    </row>
    <row r="49" spans="1:5">
      <c r="A49" s="31"/>
      <c r="B49"/>
      <c r="C49"/>
      <c r="D49"/>
      <c r="E49" s="8" t="str">
        <f t="shared" si="1"/>
        <v/>
      </c>
    </row>
    <row r="50" spans="1:5">
      <c r="A50" s="31"/>
      <c r="B50"/>
      <c r="C50"/>
      <c r="D50"/>
      <c r="E50" s="8" t="str">
        <f t="shared" si="1"/>
        <v/>
      </c>
    </row>
    <row r="51" spans="1:5">
      <c r="A51" s="31"/>
      <c r="B51"/>
      <c r="C51"/>
      <c r="D51"/>
      <c r="E51" s="8" t="str">
        <f t="shared" si="1"/>
        <v/>
      </c>
    </row>
    <row r="52" spans="1:5">
      <c r="A52" s="31"/>
      <c r="B52"/>
      <c r="C52"/>
      <c r="D52"/>
      <c r="E52" s="8" t="str">
        <f t="shared" si="1"/>
        <v/>
      </c>
    </row>
    <row r="53" spans="1:5">
      <c r="A53" s="31"/>
      <c r="B53"/>
      <c r="C53"/>
      <c r="D53"/>
      <c r="E53" s="8" t="str">
        <f t="shared" si="1"/>
        <v/>
      </c>
    </row>
    <row r="54" spans="1:5">
      <c r="A54" s="31"/>
      <c r="B54"/>
      <c r="C54"/>
      <c r="D54"/>
      <c r="E54" s="8" t="str">
        <f t="shared" si="1"/>
        <v/>
      </c>
    </row>
    <row r="55" spans="1:5">
      <c r="A55" s="31"/>
      <c r="B55"/>
      <c r="C55"/>
      <c r="D55"/>
      <c r="E55" s="8" t="str">
        <f t="shared" si="1"/>
        <v/>
      </c>
    </row>
    <row r="56" spans="1:5">
      <c r="A56" s="31"/>
      <c r="B56"/>
      <c r="C56"/>
      <c r="D56"/>
      <c r="E56" s="8" t="str">
        <f t="shared" si="1"/>
        <v/>
      </c>
    </row>
    <row r="57" spans="1:5">
      <c r="A57" s="31"/>
      <c r="B57"/>
      <c r="C57"/>
      <c r="D57"/>
      <c r="E57" s="8" t="str">
        <f t="shared" si="1"/>
        <v/>
      </c>
    </row>
    <row r="58" spans="1:5">
      <c r="A58" s="31"/>
      <c r="B58"/>
      <c r="C58"/>
      <c r="D58"/>
      <c r="E58" s="8" t="str">
        <f t="shared" si="1"/>
        <v/>
      </c>
    </row>
    <row r="59" spans="1:5">
      <c r="A59" s="31"/>
      <c r="B59"/>
      <c r="C59"/>
      <c r="D59"/>
      <c r="E59" s="8" t="str">
        <f t="shared" si="1"/>
        <v/>
      </c>
    </row>
    <row r="60" spans="1:5">
      <c r="A60" s="31"/>
      <c r="B60"/>
      <c r="C60"/>
      <c r="D60"/>
      <c r="E60" s="8" t="str">
        <f t="shared" si="1"/>
        <v/>
      </c>
    </row>
    <row r="61" spans="1:5">
      <c r="A61" s="31"/>
      <c r="B61"/>
      <c r="C61"/>
      <c r="D61"/>
      <c r="E61" s="8" t="str">
        <f t="shared" si="1"/>
        <v/>
      </c>
    </row>
    <row r="62" spans="1:5">
      <c r="A62" s="31"/>
      <c r="B62"/>
      <c r="C62"/>
      <c r="D62"/>
      <c r="E62" s="8" t="str">
        <f t="shared" si="1"/>
        <v/>
      </c>
    </row>
    <row r="63" spans="1:5">
      <c r="A63" s="31"/>
      <c r="B63"/>
      <c r="C63"/>
      <c r="D63"/>
      <c r="E63" s="8" t="str">
        <f t="shared" si="1"/>
        <v/>
      </c>
    </row>
    <row r="64" spans="1:5">
      <c r="A64" s="31"/>
      <c r="B64"/>
      <c r="C64"/>
      <c r="D64"/>
      <c r="E64" s="8" t="str">
        <f t="shared" si="1"/>
        <v/>
      </c>
    </row>
    <row r="65" spans="1:5">
      <c r="A65" s="31"/>
      <c r="B65"/>
      <c r="C65"/>
      <c r="D65"/>
      <c r="E65" s="8" t="str">
        <f t="shared" si="1"/>
        <v/>
      </c>
    </row>
    <row r="66" spans="1:5">
      <c r="A66" s="31"/>
      <c r="B66"/>
      <c r="C66"/>
      <c r="D66"/>
      <c r="E66" s="8" t="str">
        <f t="shared" si="1"/>
        <v/>
      </c>
    </row>
    <row r="67" spans="1:5">
      <c r="A67" s="31"/>
      <c r="B67"/>
      <c r="C67"/>
      <c r="D67"/>
      <c r="E67" s="8" t="str">
        <f t="shared" ref="E67:E102" si="2">IF(OR(A67="",B67=""),"","OTHER-"&amp;TEXT(A67,"yyyymmdd")&amp;"-"&amp;TEXT(ROW(),"000"))</f>
        <v/>
      </c>
    </row>
    <row r="68" spans="1:5">
      <c r="A68" s="31"/>
      <c r="B68"/>
      <c r="C68"/>
      <c r="D68"/>
      <c r="E68" s="8" t="str">
        <f t="shared" si="2"/>
        <v/>
      </c>
    </row>
    <row r="69" spans="1:5">
      <c r="A69" s="31"/>
      <c r="B69"/>
      <c r="C69"/>
      <c r="D69"/>
      <c r="E69" s="8" t="str">
        <f t="shared" si="2"/>
        <v/>
      </c>
    </row>
    <row r="70" spans="1:5">
      <c r="A70" s="31"/>
      <c r="B70"/>
      <c r="C70"/>
      <c r="D70"/>
      <c r="E70" s="8" t="str">
        <f t="shared" si="2"/>
        <v/>
      </c>
    </row>
    <row r="71" spans="1:5">
      <c r="A71" s="31"/>
      <c r="B71"/>
      <c r="C71"/>
      <c r="D71"/>
      <c r="E71" s="8" t="str">
        <f t="shared" si="2"/>
        <v/>
      </c>
    </row>
    <row r="72" spans="1:5">
      <c r="A72" s="31"/>
      <c r="B72"/>
      <c r="C72"/>
      <c r="D72"/>
      <c r="E72" s="8" t="str">
        <f t="shared" si="2"/>
        <v/>
      </c>
    </row>
    <row r="73" spans="1:5">
      <c r="A73" s="31"/>
      <c r="B73"/>
      <c r="C73"/>
      <c r="D73"/>
      <c r="E73" s="8" t="str">
        <f t="shared" si="2"/>
        <v/>
      </c>
    </row>
    <row r="74" spans="1:5">
      <c r="A74" s="31"/>
      <c r="B74"/>
      <c r="C74"/>
      <c r="D74"/>
      <c r="E74" s="8" t="str">
        <f t="shared" si="2"/>
        <v/>
      </c>
    </row>
    <row r="75" spans="1:5">
      <c r="A75" s="31"/>
      <c r="B75"/>
      <c r="C75"/>
      <c r="D75"/>
      <c r="E75" s="8" t="str">
        <f t="shared" si="2"/>
        <v/>
      </c>
    </row>
    <row r="76" spans="1:5">
      <c r="A76" s="31"/>
      <c r="B76"/>
      <c r="C76"/>
      <c r="D76"/>
      <c r="E76" s="8" t="str">
        <f t="shared" si="2"/>
        <v/>
      </c>
    </row>
    <row r="77" spans="1:5">
      <c r="A77" s="31"/>
      <c r="B77"/>
      <c r="C77"/>
      <c r="D77"/>
      <c r="E77" s="8" t="str">
        <f t="shared" si="2"/>
        <v/>
      </c>
    </row>
    <row r="78" spans="1:5">
      <c r="A78" s="31"/>
      <c r="B78"/>
      <c r="C78"/>
      <c r="D78"/>
      <c r="E78" s="8" t="str">
        <f t="shared" si="2"/>
        <v/>
      </c>
    </row>
    <row r="79" spans="1:5">
      <c r="A79" s="31"/>
      <c r="B79"/>
      <c r="C79"/>
      <c r="D79"/>
      <c r="E79" s="8" t="str">
        <f t="shared" si="2"/>
        <v/>
      </c>
    </row>
    <row r="80" spans="1:5">
      <c r="A80" s="31"/>
      <c r="B80"/>
      <c r="C80"/>
      <c r="D80"/>
      <c r="E80" s="8" t="str">
        <f t="shared" si="2"/>
        <v/>
      </c>
    </row>
    <row r="81" spans="1:5">
      <c r="A81" s="31"/>
      <c r="B81"/>
      <c r="C81"/>
      <c r="D81"/>
      <c r="E81" s="8" t="str">
        <f t="shared" si="2"/>
        <v/>
      </c>
    </row>
    <row r="82" spans="1:5">
      <c r="A82" s="31"/>
      <c r="B82"/>
      <c r="C82"/>
      <c r="D82"/>
      <c r="E82" s="8" t="str">
        <f t="shared" si="2"/>
        <v/>
      </c>
    </row>
    <row r="83" spans="1:5">
      <c r="A83" s="31"/>
      <c r="B83"/>
      <c r="C83"/>
      <c r="D83"/>
      <c r="E83" s="8" t="str">
        <f t="shared" si="2"/>
        <v/>
      </c>
    </row>
    <row r="84" spans="1:5">
      <c r="A84" s="31"/>
      <c r="B84"/>
      <c r="C84"/>
      <c r="D84"/>
      <c r="E84" s="8" t="str">
        <f t="shared" si="2"/>
        <v/>
      </c>
    </row>
    <row r="85" spans="1:5">
      <c r="A85" s="31"/>
      <c r="B85"/>
      <c r="C85"/>
      <c r="D85"/>
      <c r="E85" s="8" t="str">
        <f t="shared" si="2"/>
        <v/>
      </c>
    </row>
    <row r="86" spans="1:5">
      <c r="A86" s="31"/>
      <c r="B86"/>
      <c r="C86"/>
      <c r="D86"/>
      <c r="E86" s="8" t="str">
        <f t="shared" si="2"/>
        <v/>
      </c>
    </row>
    <row r="87" spans="1:5">
      <c r="A87" s="31"/>
      <c r="B87"/>
      <c r="C87"/>
      <c r="D87"/>
      <c r="E87" s="8" t="str">
        <f t="shared" si="2"/>
        <v/>
      </c>
    </row>
    <row r="88" spans="1:5">
      <c r="A88" s="31"/>
      <c r="B88"/>
      <c r="C88"/>
      <c r="D88"/>
      <c r="E88" s="8" t="str">
        <f t="shared" si="2"/>
        <v/>
      </c>
    </row>
    <row r="89" spans="1:5">
      <c r="A89" s="31"/>
      <c r="B89"/>
      <c r="C89"/>
      <c r="D89"/>
      <c r="E89" s="8" t="str">
        <f t="shared" si="2"/>
        <v/>
      </c>
    </row>
    <row r="90" spans="1:5">
      <c r="A90" s="31"/>
      <c r="B90"/>
      <c r="C90"/>
      <c r="D90"/>
      <c r="E90" s="8" t="str">
        <f t="shared" si="2"/>
        <v/>
      </c>
    </row>
    <row r="91" spans="1:5">
      <c r="A91" s="31"/>
      <c r="B91"/>
      <c r="C91"/>
      <c r="D91"/>
      <c r="E91" s="8" t="str">
        <f t="shared" si="2"/>
        <v/>
      </c>
    </row>
    <row r="92" spans="1:5">
      <c r="A92" s="31"/>
      <c r="B92"/>
      <c r="C92"/>
      <c r="D92"/>
      <c r="E92" s="8" t="str">
        <f t="shared" si="2"/>
        <v/>
      </c>
    </row>
    <row r="93" spans="1:5">
      <c r="A93" s="31"/>
      <c r="B93"/>
      <c r="C93"/>
      <c r="D93"/>
      <c r="E93" s="8" t="str">
        <f t="shared" si="2"/>
        <v/>
      </c>
    </row>
    <row r="94" spans="1:5">
      <c r="A94" s="31"/>
      <c r="B94"/>
      <c r="C94"/>
      <c r="D94"/>
      <c r="E94" s="8" t="str">
        <f t="shared" si="2"/>
        <v/>
      </c>
    </row>
    <row r="95" spans="1:5">
      <c r="A95" s="31"/>
      <c r="B95"/>
      <c r="C95"/>
      <c r="D95"/>
      <c r="E95" s="8" t="str">
        <f t="shared" si="2"/>
        <v/>
      </c>
    </row>
    <row r="96" spans="1:5">
      <c r="A96" s="31"/>
      <c r="B96"/>
      <c r="C96"/>
      <c r="D96"/>
      <c r="E96" s="8" t="str">
        <f t="shared" si="2"/>
        <v/>
      </c>
    </row>
    <row r="97" spans="1:5">
      <c r="A97" s="31"/>
      <c r="B97"/>
      <c r="C97"/>
      <c r="D97"/>
      <c r="E97" s="8" t="str">
        <f t="shared" si="2"/>
        <v/>
      </c>
    </row>
    <row r="98" spans="1:5">
      <c r="A98" s="31"/>
      <c r="B98"/>
      <c r="C98"/>
      <c r="D98"/>
      <c r="E98" s="8" t="str">
        <f t="shared" si="2"/>
        <v/>
      </c>
    </row>
    <row r="99" spans="1:5">
      <c r="A99" s="31"/>
      <c r="B99"/>
      <c r="C99"/>
      <c r="D99"/>
      <c r="E99" s="8" t="str">
        <f t="shared" si="2"/>
        <v/>
      </c>
    </row>
    <row r="100" spans="1:5">
      <c r="A100" s="31"/>
      <c r="B100"/>
      <c r="C100"/>
      <c r="D100"/>
      <c r="E100" s="8" t="str">
        <f t="shared" si="2"/>
        <v/>
      </c>
    </row>
    <row r="101" spans="1:5">
      <c r="A101" s="31"/>
      <c r="B101"/>
      <c r="C101"/>
      <c r="D101"/>
      <c r="E101" s="8" t="str">
        <f t="shared" si="2"/>
        <v/>
      </c>
    </row>
    <row r="102" spans="1:5">
      <c r="A102" s="31"/>
      <c r="B102"/>
      <c r="C102"/>
      <c r="D102"/>
      <c r="E102" s="8" t="str">
        <f t="shared" si="2"/>
        <v/>
      </c>
    </row>
  </sheetData>
  <mergeCells count="1">
    <mergeCell ref="A1:E1"/>
  </mergeCells>
  <dataValidations count="1">
    <dataValidation type="list" allowBlank="1" sqref="C3:C102" xr:uid="{00000000-0002-0000-0500-000001000000}">
      <formula1>DV_Staff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18F7D-9072-4433-85FD-457CC18713A3}">
  <sheetPr codeName="Sheet12"/>
  <dimension ref="A1:E24"/>
  <sheetViews>
    <sheetView workbookViewId="0">
      <selection activeCell="E4" sqref="E4"/>
    </sheetView>
  </sheetViews>
  <sheetFormatPr defaultRowHeight="14"/>
  <cols>
    <col min="1" max="1" width="9.75" bestFit="1" customWidth="1"/>
    <col min="2" max="2" width="7.1640625" bestFit="1" customWidth="1"/>
    <col min="3" max="3" width="9.08203125" bestFit="1" customWidth="1"/>
    <col min="4" max="4" width="20.5" bestFit="1" customWidth="1"/>
    <col min="5" max="5" width="36" bestFit="1" customWidth="1"/>
  </cols>
  <sheetData>
    <row r="1" spans="1:5">
      <c r="A1" s="13" t="s">
        <v>182</v>
      </c>
      <c r="B1" s="13" t="s">
        <v>271</v>
      </c>
      <c r="C1" s="13" t="s">
        <v>24</v>
      </c>
      <c r="D1" s="13" t="s">
        <v>25</v>
      </c>
      <c r="E1" s="13" t="s">
        <v>288</v>
      </c>
    </row>
    <row r="2" spans="1:5">
      <c r="A2" s="44">
        <v>46267</v>
      </c>
      <c r="B2" t="s">
        <v>275</v>
      </c>
      <c r="C2" t="s">
        <v>50</v>
      </c>
      <c r="D2" t="s">
        <v>51</v>
      </c>
      <c r="E2" t="s">
        <v>289</v>
      </c>
    </row>
    <row r="3" spans="1:5">
      <c r="A3" s="44">
        <v>46267</v>
      </c>
      <c r="B3" t="s">
        <v>275</v>
      </c>
      <c r="C3" t="s">
        <v>50</v>
      </c>
      <c r="D3" t="s">
        <v>51</v>
      </c>
      <c r="E3" t="s">
        <v>290</v>
      </c>
    </row>
    <row r="4" spans="1:5">
      <c r="A4" s="44">
        <v>46268</v>
      </c>
      <c r="B4" t="s">
        <v>275</v>
      </c>
      <c r="C4" t="s">
        <v>50</v>
      </c>
      <c r="D4" t="s">
        <v>51</v>
      </c>
      <c r="E4" t="s">
        <v>289</v>
      </c>
    </row>
    <row r="5" spans="1:5">
      <c r="A5" s="44">
        <v>46268</v>
      </c>
      <c r="B5" t="s">
        <v>275</v>
      </c>
      <c r="C5" t="s">
        <v>50</v>
      </c>
      <c r="D5" t="s">
        <v>51</v>
      </c>
      <c r="E5" t="s">
        <v>291</v>
      </c>
    </row>
    <row r="6" spans="1:5">
      <c r="A6" s="44">
        <v>46268</v>
      </c>
      <c r="B6" t="s">
        <v>275</v>
      </c>
      <c r="C6" t="s">
        <v>50</v>
      </c>
      <c r="D6" t="s">
        <v>51</v>
      </c>
      <c r="E6" t="s">
        <v>292</v>
      </c>
    </row>
    <row r="7" spans="1:5">
      <c r="A7" s="44">
        <v>46268</v>
      </c>
      <c r="B7" t="s">
        <v>275</v>
      </c>
      <c r="C7" t="s">
        <v>50</v>
      </c>
      <c r="D7" t="s">
        <v>51</v>
      </c>
      <c r="E7" t="s">
        <v>293</v>
      </c>
    </row>
    <row r="8" spans="1:5" ht="28">
      <c r="A8" s="44">
        <v>46268</v>
      </c>
      <c r="B8" t="s">
        <v>275</v>
      </c>
      <c r="C8" t="s">
        <v>69</v>
      </c>
      <c r="D8" t="s">
        <v>70</v>
      </c>
      <c r="E8" s="61" t="s">
        <v>298</v>
      </c>
    </row>
    <row r="9" spans="1:5">
      <c r="A9" s="44">
        <v>46268</v>
      </c>
      <c r="B9" t="s">
        <v>275</v>
      </c>
      <c r="C9" t="s">
        <v>69</v>
      </c>
      <c r="D9" t="s">
        <v>70</v>
      </c>
      <c r="E9" t="s">
        <v>295</v>
      </c>
    </row>
    <row r="10" spans="1:5">
      <c r="A10" s="44">
        <v>46269</v>
      </c>
      <c r="B10" t="s">
        <v>275</v>
      </c>
      <c r="C10" t="s">
        <v>69</v>
      </c>
      <c r="D10" t="s">
        <v>70</v>
      </c>
      <c r="E10" t="s">
        <v>294</v>
      </c>
    </row>
    <row r="11" spans="1:5">
      <c r="A11" s="44">
        <v>46269</v>
      </c>
      <c r="B11" t="s">
        <v>275</v>
      </c>
      <c r="C11" t="s">
        <v>69</v>
      </c>
      <c r="D11" t="s">
        <v>70</v>
      </c>
      <c r="E11" t="s">
        <v>304</v>
      </c>
    </row>
    <row r="12" spans="1:5">
      <c r="A12" s="44">
        <v>46269</v>
      </c>
      <c r="B12" t="s">
        <v>275</v>
      </c>
      <c r="C12" t="s">
        <v>69</v>
      </c>
      <c r="D12" t="s">
        <v>70</v>
      </c>
      <c r="E12" t="s">
        <v>305</v>
      </c>
    </row>
    <row r="13" spans="1:5">
      <c r="A13" s="44">
        <v>46269</v>
      </c>
      <c r="B13" t="s">
        <v>275</v>
      </c>
      <c r="C13" t="s">
        <v>69</v>
      </c>
      <c r="D13" t="s">
        <v>70</v>
      </c>
      <c r="E13" t="s">
        <v>296</v>
      </c>
    </row>
    <row r="14" spans="1:5">
      <c r="A14" s="44">
        <v>46275</v>
      </c>
      <c r="B14" t="s">
        <v>275</v>
      </c>
      <c r="C14" t="s">
        <v>69</v>
      </c>
      <c r="D14" t="s">
        <v>70</v>
      </c>
      <c r="E14" t="s">
        <v>294</v>
      </c>
    </row>
    <row r="15" spans="1:5">
      <c r="A15" s="44">
        <v>46275</v>
      </c>
      <c r="B15" t="s">
        <v>275</v>
      </c>
      <c r="C15" t="s">
        <v>69</v>
      </c>
      <c r="D15" t="s">
        <v>70</v>
      </c>
      <c r="E15" t="s">
        <v>306</v>
      </c>
    </row>
    <row r="16" spans="1:5">
      <c r="A16" s="44">
        <v>46278</v>
      </c>
      <c r="B16" t="s">
        <v>275</v>
      </c>
      <c r="C16" t="s">
        <v>50</v>
      </c>
      <c r="D16" t="s">
        <v>51</v>
      </c>
      <c r="E16" t="s">
        <v>289</v>
      </c>
    </row>
    <row r="17" spans="1:5">
      <c r="A17" s="44">
        <v>46278</v>
      </c>
      <c r="B17" t="s">
        <v>275</v>
      </c>
      <c r="C17" t="s">
        <v>50</v>
      </c>
      <c r="D17" t="s">
        <v>51</v>
      </c>
      <c r="E17" t="s">
        <v>297</v>
      </c>
    </row>
    <row r="18" spans="1:5">
      <c r="A18" s="44">
        <v>46268</v>
      </c>
      <c r="B18" t="s">
        <v>261</v>
      </c>
      <c r="C18" t="s">
        <v>69</v>
      </c>
      <c r="D18" t="s">
        <v>70</v>
      </c>
      <c r="E18" t="s">
        <v>294</v>
      </c>
    </row>
    <row r="19" spans="1:5" ht="56">
      <c r="A19" s="44">
        <v>46268</v>
      </c>
      <c r="B19" t="s">
        <v>261</v>
      </c>
      <c r="C19" t="s">
        <v>69</v>
      </c>
      <c r="D19" t="s">
        <v>70</v>
      </c>
      <c r="E19" s="61" t="s">
        <v>300</v>
      </c>
    </row>
    <row r="20" spans="1:5" ht="56">
      <c r="A20" s="44">
        <v>46268</v>
      </c>
      <c r="B20" t="s">
        <v>261</v>
      </c>
      <c r="C20" t="s">
        <v>69</v>
      </c>
      <c r="D20" t="s">
        <v>70</v>
      </c>
      <c r="E20" s="61" t="s">
        <v>301</v>
      </c>
    </row>
    <row r="21" spans="1:5" ht="28">
      <c r="A21" s="44">
        <v>46268</v>
      </c>
      <c r="B21" t="s">
        <v>261</v>
      </c>
      <c r="C21" t="s">
        <v>50</v>
      </c>
      <c r="D21" t="s">
        <v>51</v>
      </c>
      <c r="E21" s="61" t="s">
        <v>299</v>
      </c>
    </row>
    <row r="22" spans="1:5" ht="56">
      <c r="A22" s="44">
        <v>46268</v>
      </c>
      <c r="B22" t="s">
        <v>261</v>
      </c>
      <c r="C22" t="s">
        <v>50</v>
      </c>
      <c r="D22" t="s">
        <v>51</v>
      </c>
      <c r="E22" s="61" t="s">
        <v>302</v>
      </c>
    </row>
    <row r="23" spans="1:5">
      <c r="A23" s="44">
        <v>46269</v>
      </c>
      <c r="B23" t="s">
        <v>261</v>
      </c>
      <c r="C23" t="s">
        <v>69</v>
      </c>
      <c r="D23" t="s">
        <v>70</v>
      </c>
      <c r="E23" t="s">
        <v>294</v>
      </c>
    </row>
    <row r="24" spans="1:5" ht="56">
      <c r="A24" s="44">
        <v>46269</v>
      </c>
      <c r="B24" t="s">
        <v>261</v>
      </c>
      <c r="C24" t="s">
        <v>69</v>
      </c>
      <c r="D24" t="s">
        <v>70</v>
      </c>
      <c r="E24" s="61" t="s">
        <v>303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2D89A-CFC3-4840-8B0D-9934B249523D}">
  <sheetPr codeName="Sheet11"/>
  <dimension ref="A1:XFD60"/>
  <sheetViews>
    <sheetView tabSelected="1" zoomScale="80" zoomScaleNormal="80" workbookViewId="0">
      <pane ySplit="2" topLeftCell="A3" activePane="bottomLeft" state="frozen"/>
      <selection pane="bottomLeft" activeCell="F10" sqref="F10"/>
    </sheetView>
  </sheetViews>
  <sheetFormatPr defaultRowHeight="14"/>
  <cols>
    <col min="1" max="1" width="14" style="48" customWidth="1"/>
    <col min="2" max="2" width="35.4140625" style="48" customWidth="1"/>
    <col min="3" max="3" width="50.9140625" style="48" customWidth="1"/>
    <col min="4" max="4" width="20" style="48" customWidth="1"/>
    <col min="5" max="5" width="33.6640625" style="48" customWidth="1"/>
    <col min="6" max="6" width="26.9140625" style="48" customWidth="1"/>
    <col min="7" max="8" width="20" style="48" customWidth="1"/>
    <col min="9" max="10" width="8.6640625" style="48" customWidth="1"/>
    <col min="11" max="11" width="15.4140625" style="48" customWidth="1"/>
    <col min="12" max="26" width="8.6640625" style="48" customWidth="1"/>
    <col min="27" max="31" width="3" style="48" customWidth="1"/>
    <col min="32" max="33" width="8.6640625" style="48" customWidth="1"/>
    <col min="34" max="16384" width="8.6640625" style="48"/>
  </cols>
  <sheetData>
    <row r="1" spans="1:31 16384:16384" ht="30" customHeight="1">
      <c r="A1" s="75" t="s">
        <v>195</v>
      </c>
      <c r="B1" s="73"/>
      <c r="C1" s="73"/>
      <c r="D1" s="73"/>
      <c r="E1" s="73"/>
      <c r="F1" s="73"/>
      <c r="G1" s="73"/>
      <c r="H1" s="73"/>
      <c r="AA1" s="49" t="s">
        <v>196</v>
      </c>
      <c r="AB1" s="49" t="s">
        <v>197</v>
      </c>
      <c r="AC1" s="49" t="s">
        <v>198</v>
      </c>
      <c r="AD1" s="49" t="s">
        <v>199</v>
      </c>
      <c r="AE1" s="49" t="s">
        <v>35</v>
      </c>
      <c r="XFD1" s="48" t="s">
        <v>276</v>
      </c>
    </row>
    <row r="2" spans="1:31 16384:16384" ht="14.5" customHeight="1">
      <c r="A2" s="76" t="s">
        <v>269</v>
      </c>
      <c r="B2" s="73"/>
      <c r="C2" s="73"/>
      <c r="D2" s="73"/>
      <c r="E2" s="73"/>
      <c r="F2" s="73"/>
      <c r="G2" s="73"/>
      <c r="H2" s="73"/>
      <c r="AA2" s="49" t="s">
        <v>194</v>
      </c>
      <c r="AB2" s="49" t="s">
        <v>200</v>
      </c>
      <c r="AC2" s="49" t="s">
        <v>201</v>
      </c>
      <c r="AD2" s="49">
        <f>$B$3-WEEKDAY($B$3,2)+1</f>
        <v>46265</v>
      </c>
      <c r="AE2" s="49"/>
      <c r="XFD2" s="48" t="s">
        <v>277</v>
      </c>
    </row>
    <row r="3" spans="1:31 16384:16384">
      <c r="A3" s="46" t="s">
        <v>202</v>
      </c>
      <c r="B3" s="77">
        <v>46266</v>
      </c>
      <c r="C3" s="78"/>
      <c r="D3" s="46" t="s">
        <v>203</v>
      </c>
      <c r="E3" s="79" t="s">
        <v>194</v>
      </c>
      <c r="F3" s="78"/>
      <c r="G3" s="46" t="s">
        <v>204</v>
      </c>
      <c r="H3" s="47" t="s">
        <v>200</v>
      </c>
      <c r="AA3" s="49" t="str">
        <f>IF(Setup!$H$3="","",Setup!$H$3&amp;" | "&amp;Setup!$I$3)</f>
        <v>P01 | Rumah Pak Nata</v>
      </c>
      <c r="AB3" s="49" t="s">
        <v>205</v>
      </c>
      <c r="AC3" s="49" t="s">
        <v>206</v>
      </c>
      <c r="AD3" s="49" t="str">
        <f>IF($E$3="ALL PROJECTS","",LEFT($E$3,3))</f>
        <v/>
      </c>
      <c r="AE3" s="49"/>
    </row>
    <row r="4" spans="1:31 16384:16384">
      <c r="B4" s="50"/>
      <c r="AA4" s="49" t="str">
        <f>IF(Setup!$H$4="","",Setup!$H$4&amp;" | "&amp;Setup!$I$4)</f>
        <v>P02 | Interior RS Mitra Medika</v>
      </c>
      <c r="AB4" s="49" t="s">
        <v>207</v>
      </c>
      <c r="AC4" s="49" t="s">
        <v>208</v>
      </c>
      <c r="AD4" s="49">
        <f>IF($H$3="All",$B$3,MAX($B$3,$AD$2+7*(VALUE(RIGHT($H$3,1))-1)))</f>
        <v>46266</v>
      </c>
      <c r="AE4" s="49"/>
    </row>
    <row r="5" spans="1:31 16384:16384" ht="15.5" customHeight="1">
      <c r="A5" s="80" t="s">
        <v>209</v>
      </c>
      <c r="B5" s="73"/>
      <c r="C5" s="81">
        <f>IF($AD$3="",COUNTIFS('Work Activity'!$C$3:$C$89,"&gt;="&amp;$AD$4,'Work Activity'!$C$3:$C$89,"&lt;="&amp;$AD$5),COUNTIFS('Work Activity'!$C$3:$C$89,"&lt;="&amp;$AD$5))</f>
        <v>10</v>
      </c>
      <c r="D5" s="78"/>
      <c r="E5" s="80" t="s">
        <v>210</v>
      </c>
      <c r="F5" s="73"/>
      <c r="G5" s="81">
        <f>IF($AD$3="",COUNTIFS('Meeting Activity'!$A$3:$A$62,"&gt;="&amp;$AD$4,'Meeting Activity'!$A$3:$A$62,"&lt;="&amp;$AD$5),COUNTIFS('Meeting Activity'!$D$3:$D$62,$AD$3,'Meeting Activity'!$A$3:$A$62,"&gt;="&amp;$AD$4,'Meeting Activity'!$A$3:$A$62,"&lt;="&amp;$AD$5))</f>
        <v>4</v>
      </c>
      <c r="H5" s="78"/>
      <c r="AA5" s="49" t="str">
        <f>IF(Setup!$H$5="","",Setup!$H$5&amp;" | "&amp;Setup!$I$5)</f>
        <v/>
      </c>
      <c r="AB5" s="49" t="s">
        <v>211</v>
      </c>
      <c r="AC5" s="49" t="s">
        <v>212</v>
      </c>
      <c r="AD5" s="49">
        <f>IF($H$3="All",EOMONTH($B$3,0),MIN(EOMONTH($B$3,0),$AD$2+7*VALUE(RIGHT($H$3,1))-1))</f>
        <v>46295</v>
      </c>
      <c r="AE5" s="49"/>
    </row>
    <row r="6" spans="1:31 16384:16384" ht="15.5" customHeight="1">
      <c r="A6" s="80" t="s">
        <v>213</v>
      </c>
      <c r="B6" s="73"/>
      <c r="C6" s="82">
        <f>IF($AD$3="",COUNTIFS('Meeting Activity'!$A$3:$A$62,"&gt;="&amp;$AD$4,'Meeting Activity'!$A$3:$A$62,"&lt;="&amp;$AD$5,'Meeting Activity'!$L$3:$L$62,"&lt;&gt;CLEAR",'Meeting Activity'!$L$3:$L$62,"&lt;&gt;"),COUNTIFS('Meeting Activity'!$D$3:$D$62,$AD$3,'Meeting Activity'!$A$3:$A$62,"&gt;="&amp;$AD$4,'Meeting Activity'!$A$3:$A$62,"&lt;="&amp;$AD$5,'Meeting Activity'!$L$3:$L$62,"&lt;&gt;CLEAR",'Meeting Activity'!$L$3:$L$62,"&lt;&gt;"))</f>
        <v>2</v>
      </c>
      <c r="D6" s="83"/>
      <c r="E6" s="80" t="s">
        <v>214</v>
      </c>
      <c r="F6" s="73"/>
      <c r="G6" s="81" t="str">
        <f>TEXT($AD$4,"dd mmm")&amp;" – "&amp;TEXT($AD$5,"dd mmm yyyy")</f>
        <v>01 Sep – 30 Sep 2026</v>
      </c>
      <c r="H6" s="78"/>
      <c r="AA6" s="49" t="str">
        <f>IF(Setup!$H$6="","",Setup!$H$6&amp;" | "&amp;Setup!$I$6)</f>
        <v/>
      </c>
      <c r="AB6" s="49" t="s">
        <v>215</v>
      </c>
      <c r="AC6" s="49" t="s">
        <v>216</v>
      </c>
      <c r="AD6" s="49" t="str">
        <f>IF($E$3="ALL PROJECTS","All Projects",IFERROR(INDEX(Setup!$I$3:$I$52,MATCH($AD$3,Setup!$H$3:$H$52,0)),""))</f>
        <v>All Projects</v>
      </c>
      <c r="AE6" s="49"/>
    </row>
    <row r="7" spans="1:31 16384:16384">
      <c r="AA7" s="49" t="str">
        <f>IF(Setup!$H$7="","",Setup!$H$7&amp;" | "&amp;Setup!$I$7)</f>
        <v/>
      </c>
      <c r="AB7" s="49" t="s">
        <v>217</v>
      </c>
      <c r="AC7" s="49"/>
      <c r="AD7" s="49"/>
      <c r="AE7" s="49"/>
    </row>
    <row r="8" spans="1:31 16384:16384" ht="23" customHeight="1">
      <c r="A8" s="72" t="str">
        <f>IF(AND((IF($H$3="All",$AD$2,$AD$2+7*(VALUE(RIGHT($H$3,1))-1)))&lt;=EOMONTH($B$3,0),(IF($H$3="All",$AD$2,$AD$2+7*(VALUE(RIGHT($H$3,1))-1)))+6&gt;=$B$3),IF($H$3="All","WEEK 1",$H$3)&amp;"  •  "&amp;TEXT(MAX($B$3,(IF($H$3="All",$AD$2,$AD$2+7*(VALUE(RIGHT($H$3,1))-1)))),"dd mmm")&amp;" – "&amp;TEXT(MIN(EOMONTH($B$3,0),(IF($H$3="All",$AD$2,$AD$2+7*(VALUE(RIGHT($H$3,1))-1)))+6),"dd mmm yyyy"),"")</f>
        <v>WEEK 1  •  01 Sep – 06 Sep 2026</v>
      </c>
      <c r="B8" s="73"/>
      <c r="C8" s="73"/>
      <c r="D8" s="73"/>
      <c r="E8" s="73"/>
      <c r="F8" s="73"/>
      <c r="G8" s="73"/>
      <c r="H8" s="73"/>
      <c r="AA8" s="49" t="str">
        <f>IF(Setup!$H$8="","",Setup!$H$8&amp;" | "&amp;Setup!$I$8)</f>
        <v/>
      </c>
      <c r="AB8" s="49" t="s">
        <v>218</v>
      </c>
      <c r="AC8" s="49"/>
      <c r="AD8" s="49"/>
      <c r="AE8" s="49"/>
    </row>
    <row r="9" spans="1:31 16384:16384">
      <c r="A9" s="4" t="str">
        <f>IF(AND((IF($H$3="All",$AD$2,$AD$2+7*(VALUE(RIGHT($H$3,1))-1)))&lt;=EOMONTH($B$3,0),(IF($H$3="All",$AD$2,$AD$2+7*(VALUE(RIGHT($H$3,1))-1)))+6&gt;=$B$3),"LANE","")</f>
        <v>LANE</v>
      </c>
      <c r="B9" s="32" t="str">
        <f>IF(AND(AND((IF($H$3="All",$AD$2,$AD$2+7*(VALUE(RIGHT($H$3,1))-1)))&lt;=EOMONTH($B$3,0),(IF($H$3="All",$AD$2,$AD$2+7*(VALUE(RIGHT($H$3,1))-1)))+6&gt;=$B$3),(IF($H$3="All",$AD$2,$AD$2+7*(VALUE(RIGHT($H$3,1))-1)))+0&gt;=$B$3,(IF($H$3="All",$AD$2,$AD$2+7*(VALUE(RIGHT($H$3,1))-1)))+0&lt;=EOMONTH($B$3,0)),(IF($H$3="All",$AD$2,$AD$2+7*(VALUE(RIGHT($H$3,1))-1)))+0,"")</f>
        <v/>
      </c>
      <c r="C9" s="32">
        <f>IF(AND(AND((IF($H$3="All",$AD$2,$AD$2+7*(VALUE(RIGHT($H$3,1))-1)))&lt;=EOMONTH($B$3,0),(IF($H$3="All",$AD$2,$AD$2+7*(VALUE(RIGHT($H$3,1))-1)))+6&gt;=$B$3),(IF($H$3="All",$AD$2,$AD$2+7*(VALUE(RIGHT($H$3,1))-1)))+1&gt;=$B$3,(IF($H$3="All",$AD$2,$AD$2+7*(VALUE(RIGHT($H$3,1))-1)))+1&lt;=EOMONTH($B$3,0)),(IF($H$3="All",$AD$2,$AD$2+7*(VALUE(RIGHT($H$3,1))-1)))+1,"")</f>
        <v>46266</v>
      </c>
      <c r="D9" s="32">
        <f>IF(AND(AND((IF($H$3="All",$AD$2,$AD$2+7*(VALUE(RIGHT($H$3,1))-1)))&lt;=EOMONTH($B$3,0),(IF($H$3="All",$AD$2,$AD$2+7*(VALUE(RIGHT($H$3,1))-1)))+6&gt;=$B$3),(IF($H$3="All",$AD$2,$AD$2+7*(VALUE(RIGHT($H$3,1))-1)))+2&gt;=$B$3,(IF($H$3="All",$AD$2,$AD$2+7*(VALUE(RIGHT($H$3,1))-1)))+2&lt;=EOMONTH($B$3,0)),(IF($H$3="All",$AD$2,$AD$2+7*(VALUE(RIGHT($H$3,1))-1)))+2,"")</f>
        <v>46267</v>
      </c>
      <c r="E9" s="32">
        <f>IF(AND(AND((IF($H$3="All",$AD$2,$AD$2+7*(VALUE(RIGHT($H$3,1))-1)))&lt;=EOMONTH($B$3,0),(IF($H$3="All",$AD$2,$AD$2+7*(VALUE(RIGHT($H$3,1))-1)))+6&gt;=$B$3),(IF($H$3="All",$AD$2,$AD$2+7*(VALUE(RIGHT($H$3,1))-1)))+3&gt;=$B$3,(IF($H$3="All",$AD$2,$AD$2+7*(VALUE(RIGHT($H$3,1))-1)))+3&lt;=EOMONTH($B$3,0)),(IF($H$3="All",$AD$2,$AD$2+7*(VALUE(RIGHT($H$3,1))-1)))+3,"")</f>
        <v>46268</v>
      </c>
      <c r="F9" s="32">
        <f>IF(AND(AND((IF($H$3="All",$AD$2,$AD$2+7*(VALUE(RIGHT($H$3,1))-1)))&lt;=EOMONTH($B$3,0),(IF($H$3="All",$AD$2,$AD$2+7*(VALUE(RIGHT($H$3,1))-1)))+6&gt;=$B$3),(IF($H$3="All",$AD$2,$AD$2+7*(VALUE(RIGHT($H$3,1))-1)))+4&gt;=$B$3,(IF($H$3="All",$AD$2,$AD$2+7*(VALUE(RIGHT($H$3,1))-1)))+4&lt;=EOMONTH($B$3,0)),(IF($H$3="All",$AD$2,$AD$2+7*(VALUE(RIGHT($H$3,1))-1)))+4,"")</f>
        <v>46269</v>
      </c>
      <c r="G9" s="32">
        <f>IF(AND(AND((IF($H$3="All",$AD$2,$AD$2+7*(VALUE(RIGHT($H$3,1))-1)))&lt;=EOMONTH($B$3,0),(IF($H$3="All",$AD$2,$AD$2+7*(VALUE(RIGHT($H$3,1))-1)))+6&gt;=$B$3),(IF($H$3="All",$AD$2,$AD$2+7*(VALUE(RIGHT($H$3,1))-1)))+5&gt;=$B$3,(IF($H$3="All",$AD$2,$AD$2+7*(VALUE(RIGHT($H$3,1))-1)))+5&lt;=EOMONTH($B$3,0)),(IF($H$3="All",$AD$2,$AD$2+7*(VALUE(RIGHT($H$3,1))-1)))+5,"")</f>
        <v>46270</v>
      </c>
      <c r="H9" s="33">
        <f>IF(AND(AND((IF($H$3="All",$AD$2,$AD$2+7*(VALUE(RIGHT($H$3,1))-1)))&lt;=EOMONTH($B$3,0),(IF($H$3="All",$AD$2,$AD$2+7*(VALUE(RIGHT($H$3,1))-1)))+6&gt;=$B$3),(IF($H$3="All",$AD$2,$AD$2+7*(VALUE(RIGHT($H$3,1))-1)))+6&gt;=$B$3,(IF($H$3="All",$AD$2,$AD$2+7*(VALUE(RIGHT($H$3,1))-1)))+6&lt;=EOMONTH($B$3,0)),(IF($H$3="All",$AD$2,$AD$2+7*(VALUE(RIGHT($H$3,1))-1)))+6,"")</f>
        <v>46271</v>
      </c>
      <c r="K9" s="53"/>
      <c r="AA9" s="49"/>
      <c r="AB9" s="49"/>
      <c r="AC9" s="49"/>
      <c r="AD9" s="49"/>
      <c r="AE9" s="49"/>
    </row>
    <row r="10" spans="1:31 16384:16384" ht="160.5" customHeight="1">
      <c r="A10" s="5" t="str">
        <f>IF(AND((IF($H$3="All",$AD$2,$AD$2+7*(VALUE(RIGHT($H$3,1))-1)))&lt;=EOMONTH($B$3,0),(IF($H$3="All",$AD$2,$AD$2+7*(VALUE(RIGHT($H$3,1))-1)))+6&gt;=$B$3),"WORK","")</f>
        <v>WORK</v>
      </c>
      <c r="B10" s="89" t="str" cm="1">
        <f t="array" ref="B10">IFERROR(
SUBSTITUTE(
TRIM(
_xlfn.TEXTJOIN(CHAR(10),TRUE,
_xlfn._xlws.FILTER(
Dashboard_Helper!$E$2:$E$500,
(Dashboard_Helper!$A$2:$A$500=B9)*
(Dashboard_Helper!$B$2:$B$500="Work")*
(Dashboard_Helper!$E$2:$E$500&lt;&gt;"")
)
)
),
"[SUB]",
" ▲!"
),
"")</f>
        <v/>
      </c>
      <c r="C10" s="89" t="str" cm="1">
        <f t="array" ref="C10">IFERROR(
SUBSTITUTE(
TRIM(
_xlfn.TEXTJOIN(CHAR(10),TRUE,
_xlfn._xlws.FILTER(
Dashboard_Helper!$E$2:$E$500,
(Dashboard_Helper!$A$2:$A$500=C9)*
(Dashboard_Helper!$B$2:$B$500="Work")*
(Dashboard_Helper!$E$2:$E$500&lt;&gt;"")
)
)
),
"[SUB]",
" ▲!"
),
"")</f>
        <v/>
      </c>
      <c r="D10" s="89" t="str" cm="1">
        <f t="array" ref="D10">IFERROR(
SUBSTITUTE(
TRIM(
_xlfn.TEXTJOIN(CHAR(10),TRUE,
_xlfn._xlws.FILTER(
Dashboard_Helper!$E$2:$E$500,
(Dashboard_Helper!$A$2:$A$500=D9)*
(Dashboard_Helper!$B$2:$B$500="Work")*
(Dashboard_Helper!$E$2:$E$500&lt;&gt;"")
)
)
),
"[SUB]",
" ▲!"
),
"")</f>
        <v>P01 | Rumah Pak Nata
• Gambar Rencana Detil Arsitektural (Ikram)</v>
      </c>
      <c r="E10" s="89" t="str" cm="1">
        <f t="array" ref="E10">IFERROR(
SUBSTITUTE(
TRIM(
_xlfn.TEXTJOIN(CHAR(10),TRUE,
_xlfn._xlws.FILTER(
Dashboard_Helper!$E$2:$E$500,
(Dashboard_Helper!$A$2:$A$500=E9)*
(Dashboard_Helper!$B$2:$B$500="Work")*
(Dashboard_Helper!$E$2:$E$500&lt;&gt;"")
)
)
),
"[SUB]",
" ▲!"
),
"")</f>
        <v>P01 | Rumah Pak Nata
• Gambar Rencana Detil Lavatory (Ikram)
• karem (Ikram)
• miraldi (Ikram)
P02 | Interior RS Mitra Medika
• arsalan (Ikram)</v>
      </c>
      <c r="F10" s="89" t="str" cm="1">
        <f t="array" ref="F10">IFERROR(
SUBSTITUTE(
TRIM(
_xlfn.TEXTJOIN(CHAR(10),TRUE,
_xlfn._xlws.FILTER(
Dashboard_Helper!$E$2:$E$500,
(Dashboard_Helper!$A$2:$A$500=F9)*
(Dashboard_Helper!$B$2:$B$500="Work")*
(Dashboard_Helper!$E$2:$E$500&lt;&gt;"")
)
)
),
"[SUB]",
" ▲!"
),
"")</f>
        <v>P02 | Interior RS Mitra Medika
• Gambar heru (Ikram)  ▲!
• gambar ismiraldi (Ikram)  ▲!
• Gambar jono (Ikram)</v>
      </c>
      <c r="G10" s="89" t="str" cm="1">
        <f t="array" ref="G10">IFERROR(
SUBSTITUTE(
TRIM(
_xlfn.TEXTJOIN(CHAR(10),TRUE,
_xlfn._xlws.FILTER(
Dashboard_Helper!$E$2:$E$500,
(Dashboard_Helper!$A$2:$A$500=G9)*
(Dashboard_Helper!$B$2:$B$500="Work")*
(Dashboard_Helper!$E$2:$E$500&lt;&gt;"")
)
)
),
"[SUB]",
" ▲!"
),
"")</f>
        <v/>
      </c>
      <c r="H10" s="89" t="str" cm="1">
        <f t="array" ref="H10">IFERROR(
SUBSTITUTE(
TRIM(
_xlfn.TEXTJOIN(CHAR(10),TRUE,
_xlfn._xlws.FILTER(
Dashboard_Helper!$E$2:$E$500,
(Dashboard_Helper!$A$2:$A$500=H9)*
(Dashboard_Helper!$B$2:$B$500="Work")*
(Dashboard_Helper!$E$2:$E$500&lt;&gt;"")
)
)
),
"[SUB]",
" ▲!"
),
"")</f>
        <v/>
      </c>
      <c r="K10" s="53"/>
      <c r="AA10" s="49"/>
      <c r="AB10" s="49"/>
      <c r="AC10" s="49"/>
      <c r="AD10" s="49"/>
      <c r="AE10" s="49"/>
    </row>
    <row r="11" spans="1:31 16384:16384" ht="199.5" customHeight="1">
      <c r="A11" s="6" t="str">
        <f>IF(AND((IF($H$3="All",$AD$2,$AD$2+7*(VALUE(RIGHT($H$3,1))-1)))&lt;=EOMONTH($B$3,0),(IF($H$3="All",$AD$2,$AD$2+7*(VALUE(RIGHT($H$3,1))-1)))+6&gt;=$B$3),"MEETING","")</f>
        <v>MEETING</v>
      </c>
      <c r="B11" s="56" t="str" cm="1">
        <f t="array" ref="B11">IFERROR(
_xlfn.TEXTJOIN(CHAR(10),TRUE,
_xlfn._xlws.FILTER(
Dashboard_Helper!$E$2:$E$500,
(Dashboard_Helper!$A$2:$A$500=B9)*
(Dashboard_Helper!$B$2:$B$500="Meeting")*
IF($E$3="ALL PROJECTS",TRUE,Dashboard_Helper!$C$2:$C$500=LEFT($E$3,3))
)
),
"")</f>
        <v/>
      </c>
      <c r="C11" s="56" t="str" cm="1">
        <f t="array" ref="C11">IFERROR(
_xlfn.TEXTJOIN(CHAR(10),TRUE,
_xlfn._xlws.FILTER(
Dashboard_Helper!$E$2:$E$500,
(Dashboard_Helper!$A$2:$A$500=C9)*
(Dashboard_Helper!$B$2:$B$500="Meeting")*
IF($E$3="ALL PROJECTS",TRUE,Dashboard_Helper!$C$2:$C$500=LEFT($E$3,3))
)
),
"")</f>
        <v/>
      </c>
      <c r="D11" s="56" t="str" cm="1">
        <f t="array" ref="D11">IFERROR(
_xlfn.TEXTJOIN(CHAR(10),TRUE,
_xlfn._xlws.FILTER(
Dashboard_Helper!$E$2:$E$500,
(Dashboard_Helper!$A$2:$A$500=D9)*
(Dashboard_Helper!$B$2:$B$500="Meeting")*
IF($E$3="ALL PROJECTS",TRUE,Dashboard_Helper!$C$2:$C$500=LEFT($E$3,3))
)
),
"")</f>
        <v/>
      </c>
      <c r="E11" s="90" t="str" cm="1">
        <f t="array" ref="E11">IFERROR(
_xlfn.TEXTJOIN(CHAR(10),TRUE,
_xlfn._xlws.FILTER(
Dashboard_Helper!$E$2:$E$500,
(Dashboard_Helper!$A$2:$A$500=E9)*
(Dashboard_Helper!$B$2:$B$500="Meeting")*
IF($E$3="ALL PROJECTS",TRUE,Dashboard_Helper!$C$2:$C$500=LEFT($E$3,3))
)
),
"")</f>
        <v>P02 | Interior RS Mitra Medika
• Client Meeting
  PIC: Pak Ridha, Agung, Alifa, Dinda
  Time: 14:00
  Location: Client Office
• Design Review
  PIC: Pak Ridha, Agung, Alifa, Dinda
  Time: 09:00
  Location: Client Office
P01 | Rumah Pak Nata
• Client Meeting
  PIC: Ikram, Alifa
  Time: 10:00
  Location: Online</v>
      </c>
      <c r="F11" s="90" t="str" cm="1">
        <f t="array" ref="F11">IFERROR(
_xlfn.TEXTJOIN(CHAR(10),TRUE,
_xlfn._xlws.FILTER(
Dashboard_Helper!$E$2:$E$500,
(Dashboard_Helper!$A$2:$A$500=F9)*
(Dashboard_Helper!$B$2:$B$500="Meeting")*
IF($E$3="ALL PROJECTS",TRUE,Dashboard_Helper!$C$2:$C$500=LEFT($E$3,3))
)
),
"")</f>
        <v>P02 | Interior RS Mitra Medika
• Internal Design
  PIC: Pak Ridha, Dinda, Agung
  Time: 09:00
  Location: Studio</v>
      </c>
      <c r="G11" s="56" t="str" cm="1">
        <f t="array" ref="G11">IFERROR(
_xlfn.TEXTJOIN(CHAR(10),TRUE,
_xlfn._xlws.FILTER(
Dashboard_Helper!$E$2:$E$500,
(Dashboard_Helper!$A$2:$A$500=G9)*
(Dashboard_Helper!$B$2:$B$500="Meeting")*
IF($E$3="ALL PROJECTS",TRUE,Dashboard_Helper!$C$2:$C$500=LEFT($E$3,3))
)
),
"")</f>
        <v/>
      </c>
      <c r="H11" s="56" t="str" cm="1">
        <f t="array" ref="H11">IFERROR(
_xlfn.TEXTJOIN(CHAR(10),TRUE,
_xlfn._xlws.FILTER(
Dashboard_Helper!$E$2:$E$500,
(Dashboard_Helper!$A$2:$A$500=H9)*
(Dashboard_Helper!$B$2:$B$500="Meeting")*
IF($E$3="ALL PROJECTS",TRUE,Dashboard_Helper!$C$2:$C$500=LEFT($E$3,3))
)
),
"")</f>
        <v/>
      </c>
      <c r="K11" s="53"/>
      <c r="AA11" s="49"/>
      <c r="AB11" s="49"/>
      <c r="AC11" s="49"/>
      <c r="AD11" s="49"/>
      <c r="AE11" s="49"/>
    </row>
    <row r="12" spans="1:31 16384:16384" ht="57.5" customHeight="1">
      <c r="A12" s="7" t="str">
        <f>IF(AND((IF($H$3="All",$AD$2,$AD$2+7*(VALUE(RIGHT($H$3,1))-1)))&lt;=EOMONTH($B$3,0),(IF($H$3="All",$AD$2,$AD$2+7*(VALUE(RIGHT($H$3,1))-1)))+6&gt;=$B$3),"OTHER","")</f>
        <v>OTHER</v>
      </c>
      <c r="B12" s="57" t="str" cm="1">
        <f t="array" ref="B12">IFERROR(
_xlfn.TEXTJOIN(CHAR(10),TRUE,
_xlfn._xlws.FILTER(
Dashboard_Helper!$E$2:$E$500,
(Dashboard_Helper!$A$2:$A$500=B9)*
(Dashboard_Helper!$B$2:$B$500="Other")*
IF($E$3="ALL PROJECTS",TRUE,Dashboard_Helper!$C$2:$C$500=LEFT($E$3,3))
)
),
"")</f>
        <v/>
      </c>
      <c r="C12" s="57" t="str" cm="1">
        <f t="array" ref="C12">IFERROR(
_xlfn.TEXTJOIN(CHAR(10),TRUE,
_xlfn._xlws.FILTER(
Dashboard_Helper!$E$2:$E$500,
(Dashboard_Helper!$A$2:$A$500=C9)*
(Dashboard_Helper!$B$2:$B$500="Other")*
IF($E$3="ALL PROJECTS",TRUE,Dashboard_Helper!$C$2:$C$500=LEFT($E$3,3))
)
),
"")</f>
        <v/>
      </c>
      <c r="D12" s="57" t="str" cm="1">
        <f t="array" ref="D12">IFERROR(
_xlfn.TEXTJOIN(CHAR(10),TRUE,
_xlfn._xlws.FILTER(
Dashboard_Helper!$E$2:$E$500,
(Dashboard_Helper!$A$2:$A$500=D9)*
(Dashboard_Helper!$B$2:$B$500="Other")*
IF($E$3="ALL PROJECTS",TRUE,Dashboard_Helper!$C$2:$C$500=LEFT($E$3,3))
)
),
"")</f>
        <v/>
      </c>
      <c r="E12" s="57" t="str" cm="1">
        <f t="array" ref="E12">IFERROR(
_xlfn.TEXTJOIN(CHAR(10),TRUE,
_xlfn._xlws.FILTER(
Dashboard_Helper!$E$2:$E$500,
(Dashboard_Helper!$A$2:$A$500=E9)*
(Dashboard_Helper!$B$2:$B$500="Other")*
IF($E$3="ALL PROJECTS",TRUE,Dashboard_Helper!$C$2:$C$500=LEFT($E$3,3))
)
),
"")</f>
        <v/>
      </c>
      <c r="F12" s="57" t="str" cm="1">
        <f t="array" ref="F12">IFERROR(
_xlfn.TEXTJOIN(CHAR(10),TRUE,
_xlfn._xlws.FILTER(
Dashboard_Helper!$E$2:$E$500,
(Dashboard_Helper!$A$2:$A$500=F9)*
(Dashboard_Helper!$B$2:$B$500="Other")*
IF($E$3="ALL PROJECTS",TRUE,Dashboard_Helper!$C$2:$C$500=LEFT($E$3,3))
)
),
"")</f>
        <v/>
      </c>
      <c r="G12" s="57" t="str" cm="1">
        <f t="array" ref="G12">IFERROR(
_xlfn.TEXTJOIN(CHAR(10),TRUE,
_xlfn._xlws.FILTER(
Dashboard_Helper!$E$2:$E$500,
(Dashboard_Helper!$A$2:$A$500=G9)*
(Dashboard_Helper!$B$2:$B$500="Other")*
IF($E$3="ALL PROJECTS",TRUE,Dashboard_Helper!$C$2:$C$500=LEFT($E$3,3))
)
),
"")</f>
        <v/>
      </c>
      <c r="H12" s="57" t="str" cm="1">
        <f t="array" ref="H12">IFERROR(
_xlfn.TEXTJOIN(CHAR(10),TRUE,
_xlfn._xlws.FILTER(
Dashboard_Helper!$E$2:$E$500,
(Dashboard_Helper!$A$2:$A$500=H9)*
(Dashboard_Helper!$B$2:$B$500="Other")*
IF($E$3="ALL PROJECTS",TRUE,Dashboard_Helper!$C$2:$C$500=LEFT($E$3,3))
)
),
"")</f>
        <v/>
      </c>
      <c r="K12" s="60"/>
      <c r="AA12" s="49"/>
      <c r="AB12" s="49"/>
      <c r="AC12" s="49"/>
      <c r="AD12" s="49"/>
      <c r="AE12" s="49"/>
    </row>
    <row r="13" spans="1:31 16384:16384">
      <c r="C13" s="63"/>
      <c r="D13" s="63"/>
      <c r="E13" s="63"/>
      <c r="F13" s="63"/>
      <c r="G13" s="63"/>
      <c r="H13" s="63"/>
      <c r="AA13" s="49"/>
      <c r="AB13" s="49"/>
      <c r="AC13" s="49"/>
      <c r="AD13" s="49"/>
      <c r="AE13" s="49"/>
    </row>
    <row r="14" spans="1:31 16384:16384" ht="23" customHeight="1">
      <c r="A14" s="72" t="str">
        <f>IF(AND($H$3="All",($AD$2+7)&lt;=EOMONTH($B$3,0),($AD$2+7)+6&gt;=$B$3),"WEEK 2"&amp;"  •  "&amp;TEXT(MAX($B$3,($AD$2+7)),"dd mmm")&amp;" – "&amp;TEXT(MIN(EOMONTH($B$3,0),($AD$2+7)+6),"dd mmm yyyy"),"")</f>
        <v>WEEK 2  •  07 Sep – 13 Sep 2026</v>
      </c>
      <c r="B14" s="73"/>
      <c r="C14" s="74"/>
      <c r="D14" s="74"/>
      <c r="E14" s="74"/>
      <c r="F14" s="74"/>
      <c r="G14" s="74"/>
      <c r="H14" s="74"/>
      <c r="AA14" s="49"/>
      <c r="AB14" s="49"/>
      <c r="AC14" s="49"/>
      <c r="AD14" s="49"/>
      <c r="AE14" s="49"/>
    </row>
    <row r="15" spans="1:31 16384:16384">
      <c r="A15" s="4" t="str">
        <f>IF(AND($H$3="All",($AD$2+7)&lt;=EOMONTH($B$3,0),($AD$2+7)+6&gt;=$B$3),"LANE","")</f>
        <v>LANE</v>
      </c>
      <c r="B15" s="62">
        <f>IF(AND(AND($H$3="All",($AD$2+7)&lt;=EOMONTH($B$3,0),($AD$2+7)+6&gt;=$B$3),($AD$2+7)+0&gt;=$B$3,($AD$2+7)+0&lt;=EOMONTH($B$3,0)),($AD$2+7)+0,"")</f>
        <v>46272</v>
      </c>
      <c r="C15" s="64">
        <v>46273</v>
      </c>
      <c r="D15" s="64">
        <v>46274</v>
      </c>
      <c r="E15" s="64">
        <v>46275</v>
      </c>
      <c r="F15" s="64">
        <v>46276</v>
      </c>
      <c r="G15" s="64">
        <v>46277</v>
      </c>
      <c r="H15" s="65">
        <v>46278</v>
      </c>
      <c r="AA15" s="49"/>
      <c r="AB15" s="49"/>
      <c r="AC15" s="49"/>
      <c r="AD15" s="49"/>
      <c r="AE15" s="49"/>
    </row>
    <row r="16" spans="1:31 16384:16384" ht="77" customHeight="1">
      <c r="A16" s="5" t="str">
        <f>IF(AND($H$3="All",($AD$2+7)&lt;=EOMONTH($B$3,0),($AD$2+7)+6&gt;=$B$3),"WORK","")</f>
        <v>WORK</v>
      </c>
      <c r="B16" s="55" t="str" cm="1">
        <f t="array" ref="B16">IFERROR(
TRIM(
_xlfn.TEXTJOIN(CHAR(10),TRUE,
_xlfn._xlws.FILTER(
Dashboard_Helper!$E$2:$E$500,
(Dashboard_Helper!$A$2:$A$500=B15)*
(Dashboard_Helper!$B$2:$B$500="Work")*
(Dashboard_Helper!$E$2:$E$500&lt;&gt;"")
)
)
),
"")</f>
        <v/>
      </c>
      <c r="C16" s="55" t="str" cm="1">
        <f t="array" ref="C16">IFERROR(
TRIM(
_xlfn.TEXTJOIN(CHAR(10),TRUE,
_xlfn._xlws.FILTER(
Dashboard_Helper!$E$2:$E$500,
(Dashboard_Helper!$A$2:$A$500=C15)*
(Dashboard_Helper!$B$2:$B$500="Work")*
(Dashboard_Helper!$E$2:$E$500&lt;&gt;"")
)
)
),
"")</f>
        <v/>
      </c>
      <c r="D16" s="55" t="str" cm="1">
        <f t="array" ref="D16">IFERROR(
TRIM(
_xlfn.TEXTJOIN(CHAR(10),TRUE,
_xlfn._xlws.FILTER(
Dashboard_Helper!$E$2:$E$500,
(Dashboard_Helper!$A$2:$A$500=D15)*
(Dashboard_Helper!$B$2:$B$500="Work")*
(Dashboard_Helper!$E$2:$E$500&lt;&gt;"")
)
)
),
"")</f>
        <v/>
      </c>
      <c r="E16" s="89" t="str" cm="1">
        <f t="array" ref="E16">IFERROR(
TRIM(
_xlfn.TEXTJOIN(CHAR(10),TRUE,
_xlfn._xlws.FILTER(
Dashboard_Helper!$E$2:$E$500,
(Dashboard_Helper!$A$2:$A$500=E15)*
(Dashboard_Helper!$B$2:$B$500="Work")*
(Dashboard_Helper!$E$2:$E$500&lt;&gt;"")
)
)
),
"")</f>
        <v>P02 | Interior RS Mitra Medika
• Submit desain (Alifa) [SUB]</v>
      </c>
      <c r="F16" s="55" t="str" cm="1">
        <f t="array" ref="F16">IFERROR(
TRIM(
_xlfn.TEXTJOIN(CHAR(10),TRUE,
_xlfn._xlws.FILTER(
Dashboard_Helper!$E$2:$E$500,
(Dashboard_Helper!$A$2:$A$500=F15)*
(Dashboard_Helper!$B$2:$B$500="Work")*
(Dashboard_Helper!$E$2:$E$500&lt;&gt;"")
)
)
),
"")</f>
        <v/>
      </c>
      <c r="G16" s="55" t="str" cm="1">
        <f t="array" ref="G16">IFERROR(
TRIM(
_xlfn.TEXTJOIN(CHAR(10),TRUE,
_xlfn._xlws.FILTER(
Dashboard_Helper!$E$2:$E$500,
(Dashboard_Helper!$A$2:$A$500=G15)*
(Dashboard_Helper!$B$2:$B$500="Work")*
(Dashboard_Helper!$E$2:$E$500&lt;&gt;"")
)
)
),
"")</f>
        <v/>
      </c>
      <c r="H16" s="89" t="str" cm="1">
        <f t="array" ref="H16">IFERROR(
TRIM(
_xlfn.TEXTJOIN(CHAR(10),TRUE,
_xlfn._xlws.FILTER(
Dashboard_Helper!$E$2:$E$500,
(Dashboard_Helper!$A$2:$A$500=H15)*
(Dashboard_Helper!$B$2:$B$500="Work")*
(Dashboard_Helper!$E$2:$E$500&lt;&gt;"")
)
)
),
"")</f>
        <v>P01 | Rumah Pak Nata
• Gambar pohon (Dinda)</v>
      </c>
      <c r="AA16" s="49"/>
      <c r="AB16" s="49"/>
      <c r="AC16" s="49"/>
      <c r="AD16" s="49"/>
      <c r="AE16" s="49"/>
    </row>
    <row r="17" spans="1:31" ht="50" customHeight="1">
      <c r="A17" s="6" t="str">
        <f>IF(AND($H$3="All",($AD$2+7)&lt;=EOMONTH($B$3,0),($AD$2+7)+6&gt;=$B$3),"MEETING","")</f>
        <v>MEETING</v>
      </c>
      <c r="B17" s="56" t="str" cm="1">
        <f t="array" ref="B17">IFERROR(
_xlfn.TEXTJOIN(CHAR(10),TRUE,
_xlfn._xlws.FILTER(
Dashboard_Helper!$E$2:$E$500,
(Dashboard_Helper!$A$2:$A$500=B15)*
(Dashboard_Helper!$B$2:$B$500="Meeting")*
IF($E$3="ALL PROJECTS",TRUE,Dashboard_Helper!$C$2:$C$500=LEFT($E$3,3))
)
),
"")</f>
        <v/>
      </c>
      <c r="C17" s="56" t="str" cm="1">
        <f t="array" ref="C17">IFERROR(
_xlfn.TEXTJOIN(CHAR(10),TRUE,
_xlfn._xlws.FILTER(
Dashboard_Helper!$E$2:$E$500,
(Dashboard_Helper!$A$2:$A$500=C15)*
(Dashboard_Helper!$B$2:$B$500="Meeting")*
IF($E$3="ALL PROJECTS",TRUE,Dashboard_Helper!$C$2:$C$500=LEFT($E$3,3))
)
),
"")</f>
        <v/>
      </c>
      <c r="D17" s="56" t="str" cm="1">
        <f t="array" ref="D17">IFERROR(
_xlfn.TEXTJOIN(CHAR(10),TRUE,
_xlfn._xlws.FILTER(
Dashboard_Helper!$E$2:$E$500,
(Dashboard_Helper!$A$2:$A$500=D15)*
(Dashboard_Helper!$B$2:$B$500="Meeting")*
IF($E$3="ALL PROJECTS",TRUE,Dashboard_Helper!$C$2:$C$500=LEFT($E$3,3))
)
),
"")</f>
        <v/>
      </c>
      <c r="E17" s="56" t="str" cm="1">
        <f t="array" ref="E17">IFERROR(
_xlfn.TEXTJOIN(CHAR(10),TRUE,
_xlfn._xlws.FILTER(
Dashboard_Helper!$E$2:$E$500,
(Dashboard_Helper!$A$2:$A$500=E15)*
(Dashboard_Helper!$B$2:$B$500="Meeting")*
IF($E$3="ALL PROJECTS",TRUE,Dashboard_Helper!$C$2:$C$500=LEFT($E$3,3))
)
),
"")</f>
        <v/>
      </c>
      <c r="F17" s="56" t="str" cm="1">
        <f t="array" ref="F17">IFERROR(
_xlfn.TEXTJOIN(CHAR(10),TRUE,
_xlfn._xlws.FILTER(
Dashboard_Helper!$E$2:$E$500,
(Dashboard_Helper!$A$2:$A$500=F15)*
(Dashboard_Helper!$B$2:$B$500="Meeting")*
IF($E$3="ALL PROJECTS",TRUE,Dashboard_Helper!$C$2:$C$500=LEFT($E$3,3))
)
),
"")</f>
        <v/>
      </c>
      <c r="G17" s="56" t="str" cm="1">
        <f t="array" ref="G17">IFERROR(
_xlfn.TEXTJOIN(CHAR(10),TRUE,
_xlfn._xlws.FILTER(
Dashboard_Helper!$E$2:$E$500,
(Dashboard_Helper!$A$2:$A$500=G15)*
(Dashboard_Helper!$B$2:$B$500="Meeting")*
IF($E$3="ALL PROJECTS",TRUE,Dashboard_Helper!$C$2:$C$500=LEFT($E$3,3))
)
),
"")</f>
        <v/>
      </c>
      <c r="H17" s="56" t="str" cm="1">
        <f t="array" ref="H17">IFERROR(
_xlfn.TEXTJOIN(CHAR(10),TRUE,
_xlfn._xlws.FILTER(
Dashboard_Helper!$E$2:$E$500,
(Dashboard_Helper!$A$2:$A$500=H15)*
(Dashboard_Helper!$B$2:$B$500="Meeting")*
IF($E$3="ALL PROJECTS",TRUE,Dashboard_Helper!$C$2:$C$500=LEFT($E$3,3))
)
),
"")</f>
        <v/>
      </c>
      <c r="AA17" s="49"/>
      <c r="AB17" s="49"/>
      <c r="AC17" s="49"/>
      <c r="AD17" s="49"/>
      <c r="AE17" s="49"/>
    </row>
    <row r="18" spans="1:31" ht="50" customHeight="1">
      <c r="A18" s="7" t="str">
        <f>IF(AND($H$3="All",($AD$2+7)&lt;=EOMONTH($B$3,0),($AD$2+7)+6&gt;=$B$3),"OTHER","")</f>
        <v>OTHER</v>
      </c>
      <c r="B18" s="57" t="str" cm="1">
        <f t="array" ref="B18">IFERROR(
_xlfn.TEXTJOIN(CHAR(10),TRUE,
_xlfn._xlws.FILTER(
Dashboard_Helper!$E$2:$E$500,
(Dashboard_Helper!$A$2:$A$500=B15)*
(Dashboard_Helper!$B$2:$B$500="Other")*
IF($E$3="ALL PROJECTS",TRUE,Dashboard_Helper!$C$2:$C$500=LEFT($E$3,3))
)
),
"")</f>
        <v/>
      </c>
      <c r="C18" s="57" t="str" cm="1">
        <f t="array" ref="C18">IFERROR(
_xlfn.TEXTJOIN(CHAR(10),TRUE,
_xlfn._xlws.FILTER(
Dashboard_Helper!$E$2:$E$500,
(Dashboard_Helper!$A$2:$A$500=C15)*
(Dashboard_Helper!$B$2:$B$500="Other")*
IF($E$3="ALL PROJECTS",TRUE,Dashboard_Helper!$C$2:$C$500=LEFT($E$3,3))
)
),
"")</f>
        <v/>
      </c>
      <c r="D18" s="57" t="str" cm="1">
        <f t="array" ref="D18">IFERROR(
_xlfn.TEXTJOIN(CHAR(10),TRUE,
_xlfn._xlws.FILTER(
Dashboard_Helper!$E$2:$E$500,
(Dashboard_Helper!$A$2:$A$500=D15)*
(Dashboard_Helper!$B$2:$B$500="Other")*
IF($E$3="ALL PROJECTS",TRUE,Dashboard_Helper!$C$2:$C$500=LEFT($E$3,3))
)
),
"")</f>
        <v/>
      </c>
      <c r="E18" s="57" t="str" cm="1">
        <f t="array" ref="E18">IFERROR(
_xlfn.TEXTJOIN(CHAR(10),TRUE,
_xlfn._xlws.FILTER(
Dashboard_Helper!$E$2:$E$500,
(Dashboard_Helper!$A$2:$A$500=E15)*
(Dashboard_Helper!$B$2:$B$500="Other")*
IF($E$3="ALL PROJECTS",TRUE,Dashboard_Helper!$C$2:$C$500=LEFT($E$3,3))
)
),
"")</f>
        <v/>
      </c>
      <c r="F18" s="57" t="str" cm="1">
        <f t="array" ref="F18">IFERROR(
_xlfn.TEXTJOIN(CHAR(10),TRUE,
_xlfn._xlws.FILTER(
Dashboard_Helper!$E$2:$E$500,
(Dashboard_Helper!$A$2:$A$500=F15)*
(Dashboard_Helper!$B$2:$B$500="Other")*
IF($E$3="ALL PROJECTS",TRUE,Dashboard_Helper!$C$2:$C$500=LEFT($E$3,3))
)
),
"")</f>
        <v/>
      </c>
      <c r="G18" s="57" t="str" cm="1">
        <f t="array" ref="G18">IFERROR(
_xlfn.TEXTJOIN(CHAR(10),TRUE,
_xlfn._xlws.FILTER(
Dashboard_Helper!$E$2:$E$500,
(Dashboard_Helper!$A$2:$A$500=G15)*
(Dashboard_Helper!$B$2:$B$500="Other")*
IF($E$3="ALL PROJECTS",TRUE,Dashboard_Helper!$C$2:$C$500=LEFT($E$3,3))
)
),
"")</f>
        <v/>
      </c>
      <c r="H18" s="57" t="str" cm="1">
        <f t="array" ref="H18">IFERROR(
_xlfn.TEXTJOIN(CHAR(10),TRUE,
_xlfn._xlws.FILTER(
Dashboard_Helper!$E$2:$E$500,
(Dashboard_Helper!$A$2:$A$500=H15)*
(Dashboard_Helper!$B$2:$B$500="Other")*
IF($E$3="ALL PROJECTS",TRUE,Dashboard_Helper!$C$2:$C$500=LEFT($E$3,3))
)
),
"")</f>
        <v/>
      </c>
      <c r="AA18" s="49"/>
      <c r="AB18" s="49"/>
      <c r="AC18" s="49"/>
      <c r="AD18" s="49"/>
      <c r="AE18" s="49"/>
    </row>
    <row r="19" spans="1:31">
      <c r="C19" s="63"/>
      <c r="D19" s="63"/>
      <c r="E19" s="63"/>
      <c r="F19" s="63"/>
      <c r="G19" s="63"/>
      <c r="H19" s="63"/>
      <c r="AA19" s="49"/>
      <c r="AB19" s="49"/>
      <c r="AC19" s="49"/>
      <c r="AD19" s="49"/>
      <c r="AE19" s="49"/>
    </row>
    <row r="20" spans="1:31" ht="23" customHeight="1">
      <c r="A20" s="72" t="str">
        <f>IF(AND($H$3="All",($AD$2+14)&lt;=EOMONTH($B$3,0),($AD$2+14)+6&gt;=$B$3),"WEEK 3"&amp;"  •  "&amp;TEXT(MAX($B$3,($AD$2+14)),"dd mmm")&amp;" – "&amp;TEXT(MIN(EOMONTH($B$3,0),($AD$2+14)+6),"dd mmm yyyy"),"")</f>
        <v>WEEK 3  •  14 Sep – 20 Sep 2026</v>
      </c>
      <c r="B20" s="73"/>
      <c r="C20" s="74"/>
      <c r="D20" s="74"/>
      <c r="E20" s="74"/>
      <c r="F20" s="74"/>
      <c r="G20" s="74"/>
      <c r="H20" s="74"/>
      <c r="AA20" s="49"/>
      <c r="AB20" s="49"/>
      <c r="AC20" s="49"/>
      <c r="AD20" s="49"/>
      <c r="AE20" s="49"/>
    </row>
    <row r="21" spans="1:31">
      <c r="A21" s="4" t="str">
        <f>IF(AND($H$3="All",($AD$2+14)&lt;=EOMONTH($B$3,0),($AD$2+14)+6&gt;=$B$3),"LANE","")</f>
        <v>LANE</v>
      </c>
      <c r="B21" s="62">
        <f>IF(AND(AND($H$3="All",($AD$2+14)&lt;=EOMONTH($B$3,0),($AD$2+14)+6&gt;=$B$3),($AD$2+14)+0&gt;=$B$3,($AD$2+14)+0&lt;=EOMONTH($B$3,0)),($AD$2+14)+0,"")</f>
        <v>46279</v>
      </c>
      <c r="C21" s="64">
        <v>46280</v>
      </c>
      <c r="D21" s="64">
        <v>46281</v>
      </c>
      <c r="E21" s="64">
        <v>46282</v>
      </c>
      <c r="F21" s="64">
        <v>46283</v>
      </c>
      <c r="G21" s="64">
        <v>46284</v>
      </c>
      <c r="H21" s="65">
        <v>46285</v>
      </c>
      <c r="AA21" s="49"/>
      <c r="AB21" s="49"/>
      <c r="AC21" s="49"/>
      <c r="AD21" s="49"/>
      <c r="AE21" s="49"/>
    </row>
    <row r="22" spans="1:31" ht="50" customHeight="1">
      <c r="A22" s="5" t="str">
        <f>IF(AND($H$3="All",($AD$2+14)&lt;=EOMONTH($B$3,0),($AD$2+14)+6&gt;=$B$3),"WORK","")</f>
        <v>WORK</v>
      </c>
      <c r="B22" s="55" t="str" cm="1">
        <f t="array" ref="B22">IFERROR(
TRIM(
_xlfn.TEXTJOIN(CHAR(10),TRUE,
_xlfn._xlws.FILTER(
Dashboard_Helper!$E$2:$E$500,
(Dashboard_Helper!$A$2:$A$500=B21)*
(Dashboard_Helper!$B$2:$B$500="Work")*
(Dashboard_Helper!$E$2:$E$500&lt;&gt;"")
)
)
),
"")</f>
        <v/>
      </c>
      <c r="C22" s="55" t="str" cm="1">
        <f t="array" ref="C22">IFERROR(
TRIM(
_xlfn.TEXTJOIN(CHAR(10),TRUE,
_xlfn._xlws.FILTER(
Dashboard_Helper!$E$2:$E$500,
(Dashboard_Helper!$A$2:$A$500=C21)*
(Dashboard_Helper!$B$2:$B$500="Work")*
(Dashboard_Helper!$E$2:$E$500&lt;&gt;"")
)
)
),
"")</f>
        <v/>
      </c>
      <c r="D22" s="55" t="str" cm="1">
        <f t="array" ref="D22">IFERROR(
TRIM(
_xlfn.TEXTJOIN(CHAR(10),TRUE,
_xlfn._xlws.FILTER(
Dashboard_Helper!$E$2:$E$500,
(Dashboard_Helper!$A$2:$A$500=D21)*
(Dashboard_Helper!$B$2:$B$500="Work")*
(Dashboard_Helper!$E$2:$E$500&lt;&gt;"")
)
)
),
"")</f>
        <v/>
      </c>
      <c r="E22" s="55" t="str" cm="1">
        <f t="array" ref="E22">IFERROR(
TRIM(
_xlfn.TEXTJOIN(CHAR(10),TRUE,
_xlfn._xlws.FILTER(
Dashboard_Helper!$E$2:$E$500,
(Dashboard_Helper!$A$2:$A$500=E21)*
(Dashboard_Helper!$B$2:$B$500="Work")*
(Dashboard_Helper!$E$2:$E$500&lt;&gt;"")
)
)
),
"")</f>
        <v/>
      </c>
      <c r="F22" s="55" t="str" cm="1">
        <f t="array" ref="F22">IFERROR(
TRIM(
_xlfn.TEXTJOIN(CHAR(10),TRUE,
_xlfn._xlws.FILTER(
Dashboard_Helper!$E$2:$E$500,
(Dashboard_Helper!$A$2:$A$500=F21)*
(Dashboard_Helper!$B$2:$B$500="Work")*
(Dashboard_Helper!$E$2:$E$500&lt;&gt;"")
)
)
),
"")</f>
        <v/>
      </c>
      <c r="G22" s="55" t="str" cm="1">
        <f t="array" ref="G22">IFERROR(
TRIM(
_xlfn.TEXTJOIN(CHAR(10),TRUE,
_xlfn._xlws.FILTER(
Dashboard_Helper!$E$2:$E$500,
(Dashboard_Helper!$A$2:$A$500=G21)*
(Dashboard_Helper!$B$2:$B$500="Work")*
(Dashboard_Helper!$E$2:$E$500&lt;&gt;"")
)
)
),
"")</f>
        <v/>
      </c>
      <c r="H22" s="55" t="str" cm="1">
        <f t="array" ref="H22">IFERROR(
TRIM(
_xlfn.TEXTJOIN(CHAR(10),TRUE,
_xlfn._xlws.FILTER(
Dashboard_Helper!$E$2:$E$500,
(Dashboard_Helper!$A$2:$A$500=H21)*
(Dashboard_Helper!$B$2:$B$500="Work")*
(Dashboard_Helper!$E$2:$E$500&lt;&gt;"")
)
)
),
"")</f>
        <v/>
      </c>
      <c r="AA22" s="49"/>
      <c r="AB22" s="49"/>
      <c r="AC22" s="49"/>
      <c r="AD22" s="49"/>
      <c r="AE22" s="49"/>
    </row>
    <row r="23" spans="1:31" ht="50" customHeight="1">
      <c r="A23" s="6" t="str">
        <f>IF(AND($H$3="All",($AD$2+14)&lt;=EOMONTH($B$3,0),($AD$2+14)+6&gt;=$B$3),"MEETING","")</f>
        <v>MEETING</v>
      </c>
      <c r="B23" s="56" t="str" cm="1">
        <f t="array" ref="B23">IFERROR(
_xlfn.TEXTJOIN(CHAR(10),TRUE,
_xlfn._xlws.FILTER(
Dashboard_Helper!$E$2:$E$500,
(Dashboard_Helper!$A$2:$A$500=B21)*
(Dashboard_Helper!$B$2:$B$500="Meeting")*
IF($E$3="ALL PROJECTS",TRUE,Dashboard_Helper!$C$2:$C$500=LEFT($E$3,3))
)
),
"")</f>
        <v/>
      </c>
      <c r="C23" s="56" t="str" cm="1">
        <f t="array" ref="C23">IFERROR(
_xlfn.TEXTJOIN(CHAR(10),TRUE,
_xlfn._xlws.FILTER(
Dashboard_Helper!$E$2:$E$500,
(Dashboard_Helper!$A$2:$A$500=C21)*
(Dashboard_Helper!$B$2:$B$500="Meeting")*
IF($E$3="ALL PROJECTS",TRUE,Dashboard_Helper!$C$2:$C$500=LEFT($E$3,3))
)
),
"")</f>
        <v/>
      </c>
      <c r="D23" s="56" t="str" cm="1">
        <f t="array" ref="D23">IFERROR(
_xlfn.TEXTJOIN(CHAR(10),TRUE,
_xlfn._xlws.FILTER(
Dashboard_Helper!$E$2:$E$500,
(Dashboard_Helper!$A$2:$A$500=D21)*
(Dashboard_Helper!$B$2:$B$500="Meeting")*
IF($E$3="ALL PROJECTS",TRUE,Dashboard_Helper!$C$2:$C$500=LEFT($E$3,3))
)
),
"")</f>
        <v/>
      </c>
      <c r="E23" s="56" t="str" cm="1">
        <f t="array" ref="E23">IFERROR(
_xlfn.TEXTJOIN(CHAR(10),TRUE,
_xlfn._xlws.FILTER(
Dashboard_Helper!$E$2:$E$500,
(Dashboard_Helper!$A$2:$A$500=E21)*
(Dashboard_Helper!$B$2:$B$500="Meeting")*
IF($E$3="ALL PROJECTS",TRUE,Dashboard_Helper!$C$2:$C$500=LEFT($E$3,3))
)
),
"")</f>
        <v/>
      </c>
      <c r="F23" s="56" t="str" cm="1">
        <f t="array" ref="F23">IFERROR(
_xlfn.TEXTJOIN(CHAR(10),TRUE,
_xlfn._xlws.FILTER(
Dashboard_Helper!$E$2:$E$500,
(Dashboard_Helper!$A$2:$A$500=F21)*
(Dashboard_Helper!$B$2:$B$500="Meeting")*
IF($E$3="ALL PROJECTS",TRUE,Dashboard_Helper!$C$2:$C$500=LEFT($E$3,3))
)
),
"")</f>
        <v/>
      </c>
      <c r="G23" s="56" t="str" cm="1">
        <f t="array" ref="G23">IFERROR(
_xlfn.TEXTJOIN(CHAR(10),TRUE,
_xlfn._xlws.FILTER(
Dashboard_Helper!$E$2:$E$500,
(Dashboard_Helper!$A$2:$A$500=G21)*
(Dashboard_Helper!$B$2:$B$500="Meeting")*
IF($E$3="ALL PROJECTS",TRUE,Dashboard_Helper!$C$2:$C$500=LEFT($E$3,3))
)
),
"")</f>
        <v/>
      </c>
      <c r="H23" s="56" t="str" cm="1">
        <f t="array" ref="H23">IFERROR(
_xlfn.TEXTJOIN(CHAR(10),TRUE,
_xlfn._xlws.FILTER(
Dashboard_Helper!$E$2:$E$500,
(Dashboard_Helper!$A$2:$A$500=H21)*
(Dashboard_Helper!$B$2:$B$500="Meeting")*
IF($E$3="ALL PROJECTS",TRUE,Dashboard_Helper!$C$2:$C$500=LEFT($E$3,3))
)
),
"")</f>
        <v/>
      </c>
      <c r="AA23" s="49"/>
      <c r="AB23" s="49"/>
      <c r="AC23" s="49"/>
      <c r="AD23" s="49"/>
      <c r="AE23" s="49"/>
    </row>
    <row r="24" spans="1:31" ht="50" customHeight="1">
      <c r="A24" s="7" t="str">
        <f>IF(AND($H$3="All",($AD$2+14)&lt;=EOMONTH($B$3,0),($AD$2+14)+6&gt;=$B$3),"OTHER","")</f>
        <v>OTHER</v>
      </c>
      <c r="B24" s="57" t="str" cm="1">
        <f t="array" ref="B24">IFERROR(
_xlfn.TEXTJOIN(CHAR(10),TRUE,
_xlfn._xlws.FILTER(
Dashboard_Helper!$E$2:$E$500,
(Dashboard_Helper!$A$2:$A$500=B21)*
(Dashboard_Helper!$B$2:$B$500="Other")*
IF($E$3="ALL PROJECTS",TRUE,Dashboard_Helper!$C$2:$C$500=LEFT($E$3,3))
)
),
"")</f>
        <v/>
      </c>
      <c r="C24" s="57" t="str" cm="1">
        <f t="array" ref="C24">IFERROR(
_xlfn.TEXTJOIN(CHAR(10),TRUE,
_xlfn._xlws.FILTER(
Dashboard_Helper!$E$2:$E$500,
(Dashboard_Helper!$A$2:$A$500=C21)*
(Dashboard_Helper!$B$2:$B$500="Other")*
IF($E$3="ALL PROJECTS",TRUE,Dashboard_Helper!$C$2:$C$500=LEFT($E$3,3))
)
),
"")</f>
        <v/>
      </c>
      <c r="D24" s="57" t="str" cm="1">
        <f t="array" ref="D24">IFERROR(
_xlfn.TEXTJOIN(CHAR(10),TRUE,
_xlfn._xlws.FILTER(
Dashboard_Helper!$E$2:$E$500,
(Dashboard_Helper!$A$2:$A$500=D21)*
(Dashboard_Helper!$B$2:$B$500="Other")*
IF($E$3="ALL PROJECTS",TRUE,Dashboard_Helper!$C$2:$C$500=LEFT($E$3,3))
)
),
"")</f>
        <v/>
      </c>
      <c r="E24" s="57" t="str" cm="1">
        <f t="array" ref="E24">IFERROR(
_xlfn.TEXTJOIN(CHAR(10),TRUE,
_xlfn._xlws.FILTER(
Dashboard_Helper!$E$2:$E$500,
(Dashboard_Helper!$A$2:$A$500=E21)*
(Dashboard_Helper!$B$2:$B$500="Other")*
IF($E$3="ALL PROJECTS",TRUE,Dashboard_Helper!$C$2:$C$500=LEFT($E$3,3))
)
),
"")</f>
        <v/>
      </c>
      <c r="F24" s="57" t="str" cm="1">
        <f t="array" ref="F24">IFERROR(
_xlfn.TEXTJOIN(CHAR(10),TRUE,
_xlfn._xlws.FILTER(
Dashboard_Helper!$E$2:$E$500,
(Dashboard_Helper!$A$2:$A$500=F21)*
(Dashboard_Helper!$B$2:$B$500="Other")*
IF($E$3="ALL PROJECTS",TRUE,Dashboard_Helper!$C$2:$C$500=LEFT($E$3,3))
)
),
"")</f>
        <v/>
      </c>
      <c r="G24" s="57" t="str" cm="1">
        <f t="array" ref="G24">IFERROR(
_xlfn.TEXTJOIN(CHAR(10),TRUE,
_xlfn._xlws.FILTER(
Dashboard_Helper!$E$2:$E$500,
(Dashboard_Helper!$A$2:$A$500=G21)*
(Dashboard_Helper!$B$2:$B$500="Other")*
IF($E$3="ALL PROJECTS",TRUE,Dashboard_Helper!$C$2:$C$500=LEFT($E$3,3))
)
),
"")</f>
        <v/>
      </c>
      <c r="H24" s="57" t="str" cm="1">
        <f t="array" ref="H24">IFERROR(
_xlfn.TEXTJOIN(CHAR(10),TRUE,
_xlfn._xlws.FILTER(
Dashboard_Helper!$E$2:$E$500,
(Dashboard_Helper!$A$2:$A$500=H21)*
(Dashboard_Helper!$B$2:$B$500="Other")*
IF($E$3="ALL PROJECTS",TRUE,Dashboard_Helper!$C$2:$C$500=LEFT($E$3,3))
)
),
"")</f>
        <v/>
      </c>
      <c r="AA24" s="49"/>
      <c r="AB24" s="49"/>
      <c r="AC24" s="49"/>
      <c r="AD24" s="49"/>
      <c r="AE24" s="49"/>
    </row>
    <row r="25" spans="1:31">
      <c r="C25" s="63"/>
      <c r="D25" s="63"/>
      <c r="E25" s="63"/>
      <c r="F25" s="63"/>
      <c r="G25" s="63"/>
      <c r="H25" s="63"/>
      <c r="AA25" s="49"/>
      <c r="AB25" s="49"/>
      <c r="AC25" s="49"/>
      <c r="AD25" s="49"/>
      <c r="AE25" s="49"/>
    </row>
    <row r="26" spans="1:31" ht="23" customHeight="1">
      <c r="A26" s="72" t="str">
        <f>IF(AND($H$3="All",($AD$2+21)&lt;=EOMONTH($B$3,0),($AD$2+21)+6&gt;=$B$3),"WEEK 4"&amp;"  •  "&amp;TEXT(MAX($B$3,($AD$2+21)),"dd mmm")&amp;" – "&amp;TEXT(MIN(EOMONTH($B$3,0),($AD$2+21)+6),"dd mmm yyyy"),"")</f>
        <v>WEEK 4  •  21 Sep – 27 Sep 2026</v>
      </c>
      <c r="B26" s="73"/>
      <c r="C26" s="74"/>
      <c r="D26" s="74"/>
      <c r="E26" s="74"/>
      <c r="F26" s="74"/>
      <c r="G26" s="74"/>
      <c r="H26" s="74"/>
      <c r="AA26" s="49"/>
      <c r="AB26" s="49"/>
      <c r="AC26" s="49"/>
      <c r="AD26" s="49"/>
      <c r="AE26" s="49"/>
    </row>
    <row r="27" spans="1:31">
      <c r="A27" s="4" t="str">
        <f>IF(AND($H$3="All",($AD$2+21)&lt;=EOMONTH($B$3,0),($AD$2+21)+6&gt;=$B$3),"LANE","")</f>
        <v>LANE</v>
      </c>
      <c r="B27" s="62">
        <f>IF(AND(AND($H$3="All",($AD$2+21)&lt;=EOMONTH($B$3,0),($AD$2+21)+6&gt;=$B$3),($AD$2+21)+0&gt;=$B$3,($AD$2+21)+0&lt;=EOMONTH($B$3,0)),($AD$2+21)+0,"")</f>
        <v>46286</v>
      </c>
      <c r="C27" s="64">
        <v>46287</v>
      </c>
      <c r="D27" s="64">
        <v>46288</v>
      </c>
      <c r="E27" s="64">
        <v>46289</v>
      </c>
      <c r="F27" s="64">
        <v>46290</v>
      </c>
      <c r="G27" s="64">
        <v>46291</v>
      </c>
      <c r="H27" s="65">
        <v>46292</v>
      </c>
      <c r="AA27" s="49"/>
      <c r="AB27" s="49"/>
      <c r="AC27" s="49"/>
      <c r="AD27" s="49"/>
      <c r="AE27" s="49"/>
    </row>
    <row r="28" spans="1:31" ht="50" customHeight="1">
      <c r="A28" s="5" t="str">
        <f>IF(AND($H$3="All",($AD$2+21)&lt;=EOMONTH($B$3,0),($AD$2+21)+6&gt;=$B$3),"WORK","")</f>
        <v>WORK</v>
      </c>
      <c r="B28" s="55" t="str" cm="1">
        <f t="array" ref="B28">IFERROR(
TRIM(
_xlfn.TEXTJOIN(CHAR(10),TRUE,
_xlfn._xlws.FILTER(
Dashboard_Helper!$E$2:$E$500,
(Dashboard_Helper!$A$2:$A$500=B27)*
(Dashboard_Helper!$B$2:$B$500="Work")*
(Dashboard_Helper!$E$2:$E$500&lt;&gt;"")
)
)
),
"")</f>
        <v/>
      </c>
      <c r="C28" s="55" t="str" cm="1">
        <f t="array" ref="C28">IFERROR(
TRIM(
_xlfn.TEXTJOIN(CHAR(10),TRUE,
_xlfn._xlws.FILTER(
Dashboard_Helper!$E$2:$E$500,
(Dashboard_Helper!$A$2:$A$500=C27)*
(Dashboard_Helper!$B$2:$B$500="Work")*
(Dashboard_Helper!$E$2:$E$500&lt;&gt;"")
)
)
),
"")</f>
        <v/>
      </c>
      <c r="D28" s="55" t="str" cm="1">
        <f t="array" ref="D28">IFERROR(
TRIM(
_xlfn.TEXTJOIN(CHAR(10),TRUE,
_xlfn._xlws.FILTER(
Dashboard_Helper!$E$2:$E$500,
(Dashboard_Helper!$A$2:$A$500=D27)*
(Dashboard_Helper!$B$2:$B$500="Work")*
(Dashboard_Helper!$E$2:$E$500&lt;&gt;"")
)
)
),
"")</f>
        <v/>
      </c>
      <c r="E28" s="55" t="str" cm="1">
        <f t="array" ref="E28">IFERROR(
TRIM(
_xlfn.TEXTJOIN(CHAR(10),TRUE,
_xlfn._xlws.FILTER(
Dashboard_Helper!$E$2:$E$500,
(Dashboard_Helper!$A$2:$A$500=E27)*
(Dashboard_Helper!$B$2:$B$500="Work")*
(Dashboard_Helper!$E$2:$E$500&lt;&gt;"")
)
)
),
"")</f>
        <v/>
      </c>
      <c r="F28" s="55" t="str" cm="1">
        <f t="array" ref="F28">IFERROR(
TRIM(
_xlfn.TEXTJOIN(CHAR(10),TRUE,
_xlfn._xlws.FILTER(
Dashboard_Helper!$E$2:$E$500,
(Dashboard_Helper!$A$2:$A$500=F27)*
(Dashboard_Helper!$B$2:$B$500="Work")*
(Dashboard_Helper!$E$2:$E$500&lt;&gt;"")
)
)
),
"")</f>
        <v/>
      </c>
      <c r="G28" s="55" t="str" cm="1">
        <f t="array" ref="G28">IFERROR(
TRIM(
_xlfn.TEXTJOIN(CHAR(10),TRUE,
_xlfn._xlws.FILTER(
Dashboard_Helper!$E$2:$E$500,
(Dashboard_Helper!$A$2:$A$500=G27)*
(Dashboard_Helper!$B$2:$B$500="Work")*
(Dashboard_Helper!$E$2:$E$500&lt;&gt;"")
)
)
),
"")</f>
        <v/>
      </c>
      <c r="H28" s="55" t="str" cm="1">
        <f t="array" ref="H28">IFERROR(
TRIM(
_xlfn.TEXTJOIN(CHAR(10),TRUE,
_xlfn._xlws.FILTER(
Dashboard_Helper!$E$2:$E$500,
(Dashboard_Helper!$A$2:$A$500=H27)*
(Dashboard_Helper!$B$2:$B$500="Work")*
(Dashboard_Helper!$E$2:$E$500&lt;&gt;"")
)
)
),
"")</f>
        <v/>
      </c>
      <c r="AA28" s="49"/>
      <c r="AB28" s="49"/>
      <c r="AC28" s="49"/>
      <c r="AD28" s="49"/>
      <c r="AE28" s="49"/>
    </row>
    <row r="29" spans="1:31" ht="50" customHeight="1">
      <c r="A29" s="6" t="str">
        <f>IF(AND($H$3="All",($AD$2+21)&lt;=EOMONTH($B$3,0),($AD$2+21)+6&gt;=$B$3),"MEETING","")</f>
        <v>MEETING</v>
      </c>
      <c r="B29" s="56" t="str" cm="1">
        <f t="array" ref="B29">IFERROR(
_xlfn.TEXTJOIN(CHAR(10),TRUE,
_xlfn._xlws.FILTER(
Dashboard_Helper!$E$2:$E$500,
(Dashboard_Helper!$A$2:$A$500=B27)*
(Dashboard_Helper!$B$2:$B$500="Meeting")*
IF($E$3="ALL PROJECTS",TRUE,Dashboard_Helper!$C$2:$C$500=LEFT($E$3,3))
)
),
"")</f>
        <v/>
      </c>
      <c r="C29" s="56" t="str" cm="1">
        <f t="array" ref="C29">IFERROR(
_xlfn.TEXTJOIN(CHAR(10),TRUE,
_xlfn._xlws.FILTER(
Dashboard_Helper!$E$2:$E$500,
(Dashboard_Helper!$A$2:$A$500=C27)*
(Dashboard_Helper!$B$2:$B$500="Meeting")*
IF($E$3="ALL PROJECTS",TRUE,Dashboard_Helper!$C$2:$C$500=LEFT($E$3,3))
)
),
"")</f>
        <v/>
      </c>
      <c r="D29" s="56" t="str" cm="1">
        <f t="array" ref="D29">IFERROR(
_xlfn.TEXTJOIN(CHAR(10),TRUE,
_xlfn._xlws.FILTER(
Dashboard_Helper!$E$2:$E$500,
(Dashboard_Helper!$A$2:$A$500=D27)*
(Dashboard_Helper!$B$2:$B$500="Meeting")*
IF($E$3="ALL PROJECTS",TRUE,Dashboard_Helper!$C$2:$C$500=LEFT($E$3,3))
)
),
"")</f>
        <v/>
      </c>
      <c r="E29" s="56" t="str" cm="1">
        <f t="array" ref="E29">IFERROR(
_xlfn.TEXTJOIN(CHAR(10),TRUE,
_xlfn._xlws.FILTER(
Dashboard_Helper!$E$2:$E$500,
(Dashboard_Helper!$A$2:$A$500=E27)*
(Dashboard_Helper!$B$2:$B$500="Meeting")*
IF($E$3="ALL PROJECTS",TRUE,Dashboard_Helper!$C$2:$C$500=LEFT($E$3,3))
)
),
"")</f>
        <v/>
      </c>
      <c r="F29" s="56" t="str" cm="1">
        <f t="array" ref="F29">IFERROR(
_xlfn.TEXTJOIN(CHAR(10),TRUE,
_xlfn._xlws.FILTER(
Dashboard_Helper!$E$2:$E$500,
(Dashboard_Helper!$A$2:$A$500=F27)*
(Dashboard_Helper!$B$2:$B$500="Meeting")*
IF($E$3="ALL PROJECTS",TRUE,Dashboard_Helper!$C$2:$C$500=LEFT($E$3,3))
)
),
"")</f>
        <v/>
      </c>
      <c r="G29" s="56" t="str" cm="1">
        <f t="array" ref="G29">IFERROR(
_xlfn.TEXTJOIN(CHAR(10),TRUE,
_xlfn._xlws.FILTER(
Dashboard_Helper!$E$2:$E$500,
(Dashboard_Helper!$A$2:$A$500=G27)*
(Dashboard_Helper!$B$2:$B$500="Meeting")*
IF($E$3="ALL PROJECTS",TRUE,Dashboard_Helper!$C$2:$C$500=LEFT($E$3,3))
)
),
"")</f>
        <v/>
      </c>
      <c r="H29" s="56" t="str" cm="1">
        <f t="array" ref="H29">IFERROR(
_xlfn.TEXTJOIN(CHAR(10),TRUE,
_xlfn._xlws.FILTER(
Dashboard_Helper!$E$2:$E$500,
(Dashboard_Helper!$A$2:$A$500=H27)*
(Dashboard_Helper!$B$2:$B$500="Meeting")*
IF($E$3="ALL PROJECTS",TRUE,Dashboard_Helper!$C$2:$C$500=LEFT($E$3,3))
)
),
"")</f>
        <v/>
      </c>
      <c r="AA29" s="49"/>
      <c r="AB29" s="49"/>
      <c r="AC29" s="49"/>
      <c r="AD29" s="49"/>
      <c r="AE29" s="49"/>
    </row>
    <row r="30" spans="1:31" ht="50" customHeight="1">
      <c r="A30" s="7" t="str">
        <f>IF(AND($H$3="All",($AD$2+21)&lt;=EOMONTH($B$3,0),($AD$2+21)+6&gt;=$B$3),"OTHER","")</f>
        <v>OTHER</v>
      </c>
      <c r="B30" s="57" t="str" cm="1">
        <f t="array" ref="B30">IFERROR(
_xlfn.TEXTJOIN(CHAR(10),TRUE,
_xlfn._xlws.FILTER(
Dashboard_Helper!$E$2:$E$500,
(Dashboard_Helper!$A$2:$A$500=B27)*
(Dashboard_Helper!$B$2:$B$500="Other")*
IF($E$3="ALL PROJECTS",TRUE,Dashboard_Helper!$C$2:$C$500=LEFT($E$3,3))
)
),
"")</f>
        <v/>
      </c>
      <c r="C30" s="57" t="str" cm="1">
        <f t="array" ref="C30">IFERROR(
_xlfn.TEXTJOIN(CHAR(10),TRUE,
_xlfn._xlws.FILTER(
Dashboard_Helper!$E$2:$E$500,
(Dashboard_Helper!$A$2:$A$500=C27)*
(Dashboard_Helper!$B$2:$B$500="Other")*
IF($E$3="ALL PROJECTS",TRUE,Dashboard_Helper!$C$2:$C$500=LEFT($E$3,3))
)
),
"")</f>
        <v/>
      </c>
      <c r="D30" s="57" t="str" cm="1">
        <f t="array" ref="D30">IFERROR(
_xlfn.TEXTJOIN(CHAR(10),TRUE,
_xlfn._xlws.FILTER(
Dashboard_Helper!$E$2:$E$500,
(Dashboard_Helper!$A$2:$A$500=D27)*
(Dashboard_Helper!$B$2:$B$500="Other")*
IF($E$3="ALL PROJECTS",TRUE,Dashboard_Helper!$C$2:$C$500=LEFT($E$3,3))
)
),
"")</f>
        <v/>
      </c>
      <c r="E30" s="57" t="str" cm="1">
        <f t="array" ref="E30">IFERROR(
_xlfn.TEXTJOIN(CHAR(10),TRUE,
_xlfn._xlws.FILTER(
Dashboard_Helper!$E$2:$E$500,
(Dashboard_Helper!$A$2:$A$500=E27)*
(Dashboard_Helper!$B$2:$B$500="Other")*
IF($E$3="ALL PROJECTS",TRUE,Dashboard_Helper!$C$2:$C$500=LEFT($E$3,3))
)
),
"")</f>
        <v/>
      </c>
      <c r="F30" s="57" t="str" cm="1">
        <f t="array" ref="F30">IFERROR(
_xlfn.TEXTJOIN(CHAR(10),TRUE,
_xlfn._xlws.FILTER(
Dashboard_Helper!$E$2:$E$500,
(Dashboard_Helper!$A$2:$A$500=F27)*
(Dashboard_Helper!$B$2:$B$500="Other")*
IF($E$3="ALL PROJECTS",TRUE,Dashboard_Helper!$C$2:$C$500=LEFT($E$3,3))
)
),
"")</f>
        <v/>
      </c>
      <c r="G30" s="57" t="str" cm="1">
        <f t="array" ref="G30">IFERROR(
_xlfn.TEXTJOIN(CHAR(10),TRUE,
_xlfn._xlws.FILTER(
Dashboard_Helper!$E$2:$E$500,
(Dashboard_Helper!$A$2:$A$500=G27)*
(Dashboard_Helper!$B$2:$B$500="Other")*
IF($E$3="ALL PROJECTS",TRUE,Dashboard_Helper!$C$2:$C$500=LEFT($E$3,3))
)
),
"")</f>
        <v/>
      </c>
      <c r="H30" s="57" t="str" cm="1">
        <f t="array" ref="H30">IFERROR(
_xlfn.TEXTJOIN(CHAR(10),TRUE,
_xlfn._xlws.FILTER(
Dashboard_Helper!$E$2:$E$500,
(Dashboard_Helper!$A$2:$A$500=H27)*
(Dashboard_Helper!$B$2:$B$500="Other")*
IF($E$3="ALL PROJECTS",TRUE,Dashboard_Helper!$C$2:$C$500=LEFT($E$3,3))
)
),
"")</f>
        <v/>
      </c>
      <c r="AA30" s="49"/>
      <c r="AB30" s="49"/>
      <c r="AC30" s="49"/>
      <c r="AD30" s="49"/>
      <c r="AE30" s="49"/>
    </row>
    <row r="31" spans="1:31">
      <c r="C31" s="63"/>
      <c r="D31" s="63"/>
      <c r="E31" s="63"/>
      <c r="F31" s="63"/>
      <c r="G31" s="63"/>
      <c r="H31" s="63"/>
      <c r="AA31" s="49"/>
      <c r="AB31" s="49"/>
      <c r="AC31" s="49"/>
      <c r="AD31" s="49"/>
      <c r="AE31" s="49"/>
    </row>
    <row r="32" spans="1:31" ht="23" customHeight="1">
      <c r="A32" s="72" t="str">
        <f>IF(AND($H$3="All",($AD$2+28)&lt;=EOMONTH($B$3,0),($AD$2+28)+6&gt;=$B$3),"WEEK 5"&amp;"  •  "&amp;TEXT(MAX($B$3,($AD$2+28)),"dd mmm")&amp;" – "&amp;TEXT(MIN(EOMONTH($B$3,0),($AD$2+28)+6),"dd mmm yyyy"),"")</f>
        <v>WEEK 5  •  28 Sep – 30 Sep 2026</v>
      </c>
      <c r="B32" s="73"/>
      <c r="C32" s="74"/>
      <c r="D32" s="74"/>
      <c r="E32" s="74"/>
      <c r="F32" s="74"/>
      <c r="G32" s="74"/>
      <c r="H32" s="74"/>
      <c r="AA32" s="49"/>
      <c r="AB32" s="49"/>
      <c r="AC32" s="49"/>
      <c r="AD32" s="49"/>
      <c r="AE32" s="49"/>
    </row>
    <row r="33" spans="1:31">
      <c r="A33" s="4" t="str">
        <f>IF(AND($H$3="All",($AD$2+28)&lt;=EOMONTH($B$3,0),($AD$2+28)+6&gt;=$B$3),"LANE","")</f>
        <v>LANE</v>
      </c>
      <c r="B33" s="62">
        <f>IF(AND(AND($H$3="All",($AD$2+28)&lt;=EOMONTH($B$3,0),($AD$2+28)+6&gt;=$B$3),($AD$2+28)+0&gt;=$B$3,($AD$2+28)+0&lt;=EOMONTH($B$3,0)),($AD$2+28)+0,"")</f>
        <v>46293</v>
      </c>
      <c r="C33" s="64">
        <v>46294</v>
      </c>
      <c r="D33" s="64">
        <v>46295</v>
      </c>
      <c r="E33" s="64"/>
      <c r="F33" s="64"/>
      <c r="G33" s="64"/>
      <c r="H33" s="65"/>
      <c r="AA33" s="49"/>
      <c r="AB33" s="49"/>
      <c r="AC33" s="49"/>
      <c r="AD33" s="49"/>
      <c r="AE33" s="49"/>
    </row>
    <row r="34" spans="1:31" ht="50" customHeight="1">
      <c r="A34" s="5" t="str">
        <f>IF(AND($H$3="All",($AD$2+28)&lt;=EOMONTH($B$3,0),($AD$2+28)+6&gt;=$B$3),"WORK","")</f>
        <v>WORK</v>
      </c>
      <c r="B34" s="55" t="str" cm="1">
        <f t="array" ref="B34">IFERROR(
TRIM(
_xlfn.TEXTJOIN(CHAR(10),TRUE,
_xlfn._xlws.FILTER(
Dashboard_Helper!$E$2:$E$500,
(Dashboard_Helper!$A$2:$A$500=B33)*
(Dashboard_Helper!$B$2:$B$500="Work")*
(Dashboard_Helper!$E$2:$E$500&lt;&gt;"")
)
)
),
"")</f>
        <v/>
      </c>
      <c r="C34" s="55" t="str" cm="1">
        <f t="array" ref="C34">IFERROR(
TRIM(
_xlfn.TEXTJOIN(CHAR(10),TRUE,
_xlfn._xlws.FILTER(
Dashboard_Helper!$E$2:$E$500,
(Dashboard_Helper!$A$2:$A$500=C33)*
(Dashboard_Helper!$B$2:$B$500="Work")*
(Dashboard_Helper!$E$2:$E$500&lt;&gt;"")
)
)
),
"")</f>
        <v/>
      </c>
      <c r="D34" s="55" t="str" cm="1">
        <f t="array" ref="D34">IFERROR(
TRIM(
_xlfn.TEXTJOIN(CHAR(10),TRUE,
_xlfn._xlws.FILTER(
Dashboard_Helper!$E$2:$E$500,
(Dashboard_Helper!$A$2:$A$500=D33)*
(Dashboard_Helper!$B$2:$B$500="Work")*
(Dashboard_Helper!$E$2:$E$500&lt;&gt;"")
)
)
),
"")</f>
        <v/>
      </c>
      <c r="E34" s="55" t="str" cm="1">
        <f t="array" ref="E34">IFERROR(
TRIM(
_xlfn.TEXTJOIN(CHAR(10),TRUE,
_xlfn._xlws.FILTER(
Dashboard_Helper!$E$2:$E$500,
(Dashboard_Helper!$A$2:$A$500=E33)*
(Dashboard_Helper!$B$2:$B$500="Work")*
(Dashboard_Helper!$E$2:$E$500&lt;&gt;"")
)
)
),
"")</f>
        <v/>
      </c>
      <c r="F34" s="55" t="str" cm="1">
        <f t="array" ref="F34">IFERROR(
TRIM(
_xlfn.TEXTJOIN(CHAR(10),TRUE,
_xlfn._xlws.FILTER(
Dashboard_Helper!$E$2:$E$500,
(Dashboard_Helper!$A$2:$A$500=F33)*
(Dashboard_Helper!$B$2:$B$500="Work")*
(Dashboard_Helper!$E$2:$E$500&lt;&gt;"")
)
)
),
"")</f>
        <v/>
      </c>
      <c r="G34" s="55" t="str" cm="1">
        <f t="array" ref="G34">IFERROR(
TRIM(
_xlfn.TEXTJOIN(CHAR(10),TRUE,
_xlfn._xlws.FILTER(
Dashboard_Helper!$E$2:$E$500,
(Dashboard_Helper!$A$2:$A$500=G33)*
(Dashboard_Helper!$B$2:$B$500="Work")*
(Dashboard_Helper!$E$2:$E$500&lt;&gt;"")
)
)
),
"")</f>
        <v/>
      </c>
      <c r="H34" s="55" t="str" cm="1">
        <f t="array" ref="H34">IFERROR(
TRIM(
_xlfn.TEXTJOIN(CHAR(10),TRUE,
_xlfn._xlws.FILTER(
Dashboard_Helper!$E$2:$E$500,
(Dashboard_Helper!$A$2:$A$500=H33)*
(Dashboard_Helper!$B$2:$B$500="Work")*
(Dashboard_Helper!$E$2:$E$500&lt;&gt;"")
)
)
),
"")</f>
        <v/>
      </c>
      <c r="AA34" s="49"/>
      <c r="AB34" s="49"/>
      <c r="AC34" s="49"/>
      <c r="AD34" s="49"/>
      <c r="AE34" s="49"/>
    </row>
    <row r="35" spans="1:31" ht="50" customHeight="1">
      <c r="A35" s="6" t="str">
        <f>IF(AND($H$3="All",($AD$2+28)&lt;=EOMONTH($B$3,0),($AD$2+28)+6&gt;=$B$3),"MEETING","")</f>
        <v>MEETING</v>
      </c>
      <c r="B35" s="56" t="str" cm="1">
        <f t="array" ref="B35">IFERROR(
_xlfn.TEXTJOIN(CHAR(10),TRUE,
_xlfn._xlws.FILTER(
Dashboard_Helper!$E$2:$E$500,
(Dashboard_Helper!$A$2:$A$500=B33)*
(Dashboard_Helper!$B$2:$B$500="Meeting")*
IF($E$3="ALL PROJECTS",TRUE,Dashboard_Helper!$C$2:$C$500=LEFT($E$3,3))
)
),
"")</f>
        <v/>
      </c>
      <c r="C35" s="56" t="str" cm="1">
        <f t="array" ref="C35">IFERROR(
_xlfn.TEXTJOIN(CHAR(10),TRUE,
_xlfn._xlws.FILTER(
Dashboard_Helper!$E$2:$E$500,
(Dashboard_Helper!$A$2:$A$500=C33)*
(Dashboard_Helper!$B$2:$B$500="Meeting")*
IF($E$3="ALL PROJECTS",TRUE,Dashboard_Helper!$C$2:$C$500=LEFT($E$3,3))
)
),
"")</f>
        <v/>
      </c>
      <c r="D35" s="56" t="str" cm="1">
        <f t="array" ref="D35">IFERROR(
_xlfn.TEXTJOIN(CHAR(10),TRUE,
_xlfn._xlws.FILTER(
Dashboard_Helper!$E$2:$E$500,
(Dashboard_Helper!$A$2:$A$500=D33)*
(Dashboard_Helper!$B$2:$B$500="Meeting")*
IF($E$3="ALL PROJECTS",TRUE,Dashboard_Helper!$C$2:$C$500=LEFT($E$3,3))
)
),
"")</f>
        <v/>
      </c>
      <c r="E35" s="56" t="str" cm="1">
        <f t="array" ref="E35">IFERROR(
_xlfn.TEXTJOIN(CHAR(10),TRUE,
_xlfn._xlws.FILTER(
Dashboard_Helper!$E$2:$E$500,
(Dashboard_Helper!$A$2:$A$500=E33)*
(Dashboard_Helper!$B$2:$B$500="Meeting")*
IF($E$3="ALL PROJECTS",TRUE,Dashboard_Helper!$C$2:$C$500=LEFT($E$3,3))
)
),
"")</f>
        <v/>
      </c>
      <c r="F35" s="56" t="str" cm="1">
        <f t="array" ref="F35">IFERROR(
_xlfn.TEXTJOIN(CHAR(10),TRUE,
_xlfn._xlws.FILTER(
Dashboard_Helper!$E$2:$E$500,
(Dashboard_Helper!$A$2:$A$500=F33)*
(Dashboard_Helper!$B$2:$B$500="Meeting")*
IF($E$3="ALL PROJECTS",TRUE,Dashboard_Helper!$C$2:$C$500=LEFT($E$3,3))
)
),
"")</f>
        <v/>
      </c>
      <c r="G35" s="56" t="str" cm="1">
        <f t="array" ref="G35">IFERROR(
_xlfn.TEXTJOIN(CHAR(10),TRUE,
_xlfn._xlws.FILTER(
Dashboard_Helper!$E$2:$E$500,
(Dashboard_Helper!$A$2:$A$500=G33)*
(Dashboard_Helper!$B$2:$B$500="Meeting")*
IF($E$3="ALL PROJECTS",TRUE,Dashboard_Helper!$C$2:$C$500=LEFT($E$3,3))
)
),
"")</f>
        <v/>
      </c>
      <c r="H35" s="56" t="str" cm="1">
        <f t="array" ref="H35">IFERROR(
_xlfn.TEXTJOIN(CHAR(10),TRUE,
_xlfn._xlws.FILTER(
Dashboard_Helper!$E$2:$E$500,
(Dashboard_Helper!$A$2:$A$500=H33)*
(Dashboard_Helper!$B$2:$B$500="Meeting")*
IF($E$3="ALL PROJECTS",TRUE,Dashboard_Helper!$C$2:$C$500=LEFT($E$3,3))
)
),
"")</f>
        <v/>
      </c>
      <c r="AA35" s="49"/>
      <c r="AB35" s="49"/>
      <c r="AC35" s="49"/>
      <c r="AD35" s="49"/>
      <c r="AE35" s="49"/>
    </row>
    <row r="36" spans="1:31" ht="50" customHeight="1">
      <c r="A36" s="7" t="str">
        <f>IF(AND($H$3="All",($AD$2+28)&lt;=EOMONTH($B$3,0),($AD$2+28)+6&gt;=$B$3),"OTHER","")</f>
        <v>OTHER</v>
      </c>
      <c r="B36" s="57" t="str" cm="1">
        <f t="array" ref="B36">IFERROR(
_xlfn.TEXTJOIN(CHAR(10),TRUE,
_xlfn._xlws.FILTER(
Dashboard_Helper!$E$2:$E$500,
(Dashboard_Helper!$A$2:$A$500=B33)*
(Dashboard_Helper!$B$2:$B$500="Other")*
IF($E$3="ALL PROJECTS",TRUE,Dashboard_Helper!$C$2:$C$500=LEFT($E$3,3))
)
),
"")</f>
        <v/>
      </c>
      <c r="C36" s="57" t="str" cm="1">
        <f t="array" ref="C36">IFERROR(
_xlfn.TEXTJOIN(CHAR(10),TRUE,
_xlfn._xlws.FILTER(
Dashboard_Helper!$E$2:$E$500,
(Dashboard_Helper!$A$2:$A$500=C33)*
(Dashboard_Helper!$B$2:$B$500="Other")*
IF($E$3="ALL PROJECTS",TRUE,Dashboard_Helper!$C$2:$C$500=LEFT($E$3,3))
)
),
"")</f>
        <v/>
      </c>
      <c r="D36" s="57" t="str" cm="1">
        <f t="array" ref="D36">IFERROR(
_xlfn.TEXTJOIN(CHAR(10),TRUE,
_xlfn._xlws.FILTER(
Dashboard_Helper!$E$2:$E$500,
(Dashboard_Helper!$A$2:$A$500=D33)*
(Dashboard_Helper!$B$2:$B$500="Other")*
IF($E$3="ALL PROJECTS",TRUE,Dashboard_Helper!$C$2:$C$500=LEFT($E$3,3))
)
),
"")</f>
        <v/>
      </c>
      <c r="E36" s="57" t="str" cm="1">
        <f t="array" ref="E36">IFERROR(
_xlfn.TEXTJOIN(CHAR(10),TRUE,
_xlfn._xlws.FILTER(
Dashboard_Helper!$E$2:$E$500,
(Dashboard_Helper!$A$2:$A$500=E33)*
(Dashboard_Helper!$B$2:$B$500="Other")*
IF($E$3="ALL PROJECTS",TRUE,Dashboard_Helper!$C$2:$C$500=LEFT($E$3,3))
)
),
"")</f>
        <v/>
      </c>
      <c r="F36" s="57" t="str" cm="1">
        <f t="array" ref="F36">IFERROR(
_xlfn.TEXTJOIN(CHAR(10),TRUE,
_xlfn._xlws.FILTER(
Dashboard_Helper!$E$2:$E$500,
(Dashboard_Helper!$A$2:$A$500=F33)*
(Dashboard_Helper!$B$2:$B$500="Other")*
IF($E$3="ALL PROJECTS",TRUE,Dashboard_Helper!$C$2:$C$500=LEFT($E$3,3))
)
),
"")</f>
        <v/>
      </c>
      <c r="G36" s="57" t="str" cm="1">
        <f t="array" ref="G36">IFERROR(
_xlfn.TEXTJOIN(CHAR(10),TRUE,
_xlfn._xlws.FILTER(
Dashboard_Helper!$E$2:$E$500,
(Dashboard_Helper!$A$2:$A$500=G33)*
(Dashboard_Helper!$B$2:$B$500="Other")*
IF($E$3="ALL PROJECTS",TRUE,Dashboard_Helper!$C$2:$C$500=LEFT($E$3,3))
)
),
"")</f>
        <v/>
      </c>
      <c r="H36" s="57" t="str" cm="1">
        <f t="array" ref="H36">IFERROR(
_xlfn.TEXTJOIN(CHAR(10),TRUE,
_xlfn._xlws.FILTER(
Dashboard_Helper!$E$2:$E$500,
(Dashboard_Helper!$A$2:$A$500=H33)*
(Dashboard_Helper!$B$2:$B$500="Other")*
IF($E$3="ALL PROJECTS",TRUE,Dashboard_Helper!$C$2:$C$500=LEFT($E$3,3))
)
),
"")</f>
        <v/>
      </c>
      <c r="AA36" s="49"/>
      <c r="AB36" s="49"/>
      <c r="AC36" s="49"/>
      <c r="AD36" s="49"/>
      <c r="AE36" s="49"/>
    </row>
    <row r="37" spans="1:31">
      <c r="AA37" s="49"/>
      <c r="AB37" s="49"/>
      <c r="AC37" s="49"/>
      <c r="AD37" s="49"/>
      <c r="AE37" s="49"/>
    </row>
    <row r="38" spans="1:31" ht="23" customHeight="1">
      <c r="A38" s="72" t="str">
        <f>IF(AND($H$3="All",($AD$2+35)&lt;=EOMONTH($B$3,0),($AD$2+35)+6&gt;=$B$3),"WEEK 6"&amp;"  •  "&amp;TEXT(MAX($B$3,($AD$2+35)),"dd mmm")&amp;" – "&amp;TEXT(MIN(EOMONTH($B$3,0),($AD$2+35)+6),"dd mmm yyyy"),"")</f>
        <v/>
      </c>
      <c r="B38" s="73"/>
      <c r="C38" s="73"/>
      <c r="D38" s="73"/>
      <c r="E38" s="73"/>
      <c r="F38" s="73"/>
      <c r="G38" s="73"/>
      <c r="H38" s="73"/>
      <c r="AA38" s="49"/>
      <c r="AB38" s="49"/>
      <c r="AC38" s="49"/>
      <c r="AD38" s="49"/>
      <c r="AE38" s="49"/>
    </row>
    <row r="39" spans="1:31">
      <c r="A39" s="4" t="str">
        <f>IF(AND($H$3="All",($AD$2+35)&lt;=EOMONTH($B$3,0),($AD$2+35)+6&gt;=$B$3),"LANE","")</f>
        <v/>
      </c>
      <c r="B39" s="32" t="str">
        <f>IF(AND(AND($H$3="All",($AD$2+35)&lt;=EOMONTH($B$3,0),($AD$2+35)+6&gt;=$B$3),($AD$2+35)+0&gt;=$B$3,($AD$2+35)+0&lt;=EOMONTH($B$3,0)),($AD$2+35)+0,"")</f>
        <v/>
      </c>
      <c r="C39" s="32" t="str">
        <f>IF(AND(AND($H$3="All",($AD$2+35)&lt;=EOMONTH($B$3,0),($AD$2+35)+6&gt;=$B$3),($AD$2+35)+1&gt;=$B$3,($AD$2+35)+1&lt;=EOMONTH($B$3,0)),($AD$2+35)+1,"")</f>
        <v/>
      </c>
      <c r="D39" s="32" t="str">
        <f>IF(AND(AND($H$3="All",($AD$2+35)&lt;=EOMONTH($B$3,0),($AD$2+35)+6&gt;=$B$3),($AD$2+35)+2&gt;=$B$3,($AD$2+35)+2&lt;=EOMONTH($B$3,0)),($AD$2+35)+2,"")</f>
        <v/>
      </c>
      <c r="E39" s="32" t="str">
        <f>IF(AND(AND($H$3="All",($AD$2+35)&lt;=EOMONTH($B$3,0),($AD$2+35)+6&gt;=$B$3),($AD$2+35)+3&gt;=$B$3,($AD$2+35)+3&lt;=EOMONTH($B$3,0)),($AD$2+35)+3,"")</f>
        <v/>
      </c>
      <c r="F39" s="32" t="str">
        <f>IF(AND(AND($H$3="All",($AD$2+35)&lt;=EOMONTH($B$3,0),($AD$2+35)+6&gt;=$B$3),($AD$2+35)+4&gt;=$B$3,($AD$2+35)+4&lt;=EOMONTH($B$3,0)),($AD$2+35)+4,"")</f>
        <v/>
      </c>
      <c r="G39" s="32" t="str">
        <f>IF(AND(AND($H$3="All",($AD$2+35)&lt;=EOMONTH($B$3,0),($AD$2+35)+6&gt;=$B$3),($AD$2+35)+5&gt;=$B$3,($AD$2+35)+5&lt;=EOMONTH($B$3,0)),($AD$2+35)+5,"")</f>
        <v/>
      </c>
      <c r="H39" s="33" t="str">
        <f>IF(AND(AND($H$3="All",($AD$2+35)&lt;=EOMONTH($B$3,0),($AD$2+35)+6&gt;=$B$3),($AD$2+35)+6&gt;=$B$3,($AD$2+35)+6&lt;=EOMONTH($B$3,0)),($AD$2+35)+6,"")</f>
        <v/>
      </c>
      <c r="AA39" s="49"/>
      <c r="AB39" s="49"/>
      <c r="AC39" s="49"/>
      <c r="AD39" s="49"/>
      <c r="AE39" s="49"/>
    </row>
    <row r="40" spans="1:31" ht="50" customHeight="1">
      <c r="A40" s="5" t="str">
        <f>IF(AND($H$3="All",($AD$2+35)&lt;=EOMONTH($B$3,0),($AD$2+35)+6&gt;=$B$3),"WORK","")</f>
        <v/>
      </c>
      <c r="B40" s="19" t="str" cm="1">
        <f t="array" ref="B40">IF(B$39="","",IF($AD$3="",
IF(COUNTIFS('Work Activity'!$C$3:$C$89,"&lt;="&amp;B$39,'Work Activity'!$D$3:$D$89,"&gt;="&amp;B$39)=0,"",
IFERROR(INDEX('Work Activity'!$F$3:$F$89,MATCH(1,INDEX(('Work Activity'!$C$3:$C$89&lt;=B$39)*('Work Activity'!$D$3:$D$89&gt;=B$39),0),0)),"")),
IF(COUNTIFS('Work Activity'!$A$3:$A$89,$AD$3,'Work Activity'!$C$3:$C$89,"&lt;="&amp;B$39,'Work Activity'!$D$3:$D$89,"&gt;="&amp;B$39)=0,"",
IFERROR(INDEX('Work Activity'!$F$3:$F$89,MATCH(1,INDEX(('Work Activity'!$A$3:$A$89=$AD$3)*('Work Activity'!$C$3:$C$89&lt;=B$39)*('Work Activity'!$D$3:$D$89&gt;=B$39),0),0)),""))))</f>
        <v/>
      </c>
      <c r="C40" s="20" t="str" cm="1">
        <f t="array" ref="C40">IF(C$39="","",IF($AD$3="",
IF(COUNTIFS('Work Activity'!$C$3:$C$89,"&lt;="&amp;C$39,'Work Activity'!$D$3:$D$89,"&gt;="&amp;C$39)=0,"",
IFERROR(INDEX('Work Activity'!$F$3:$F$89,MATCH(1,INDEX(('Work Activity'!$C$3:$C$89&lt;=C$39)*('Work Activity'!$D$3:$D$89&gt;=C$39),0),0)),"")),
IF(COUNTIFS('Work Activity'!$A$3:$A$89,$AD$3,'Work Activity'!$C$3:$C$89,"&lt;="&amp;C$39,'Work Activity'!$D$3:$D$89,"&gt;="&amp;C$39)=0,"",
IFERROR(INDEX('Work Activity'!$F$3:$F$89,MATCH(1,INDEX(('Work Activity'!$A$3:$A$89=$AD$3)*('Work Activity'!$C$3:$C$89&lt;=C$39)*('Work Activity'!$D$3:$D$89&gt;=C$39),0),0)),""))))</f>
        <v/>
      </c>
      <c r="D40" s="20" t="str" cm="1">
        <f t="array" ref="D40">IF(D$39="","",IF($AD$3="",
IF(COUNTIFS('Work Activity'!$C$3:$C$89,"&lt;="&amp;D$39,'Work Activity'!$D$3:$D$89,"&gt;="&amp;D$39)=0,"",
IFERROR(INDEX('Work Activity'!$F$3:$F$89,MATCH(1,INDEX(('Work Activity'!$C$3:$C$89&lt;=D$39)*('Work Activity'!$D$3:$D$89&gt;=D$39),0),0)),"")),
IF(COUNTIFS('Work Activity'!$A$3:$A$89,$AD$3,'Work Activity'!$C$3:$C$89,"&lt;="&amp;D$39,'Work Activity'!$D$3:$D$89,"&gt;="&amp;D$39)=0,"",
IFERROR(INDEX('Work Activity'!$F$3:$F$89,MATCH(1,INDEX(('Work Activity'!$A$3:$A$89=$AD$3)*('Work Activity'!$C$3:$C$89&lt;=D$39)*('Work Activity'!$D$3:$D$89&gt;=D$39),0),0)),""))))</f>
        <v/>
      </c>
      <c r="E40" s="20" t="str" cm="1">
        <f t="array" ref="E40">IF(E$39="","",IF($AD$3="",
IF(COUNTIFS('Work Activity'!$C$3:$C$89,"&lt;="&amp;E$39,'Work Activity'!$D$3:$D$89,"&gt;="&amp;E$39)=0,"",
IFERROR(INDEX('Work Activity'!$F$3:$F$89,MATCH(1,INDEX(('Work Activity'!$C$3:$C$89&lt;=E$39)*('Work Activity'!$D$3:$D$89&gt;=E$39),0),0)),"")),
IF(COUNTIFS('Work Activity'!$A$3:$A$89,$AD$3,'Work Activity'!$C$3:$C$89,"&lt;="&amp;E$39,'Work Activity'!$D$3:$D$89,"&gt;="&amp;E$39)=0,"",
IFERROR(INDEX('Work Activity'!$F$3:$F$89,MATCH(1,INDEX(('Work Activity'!$A$3:$A$89=$AD$3)*('Work Activity'!$C$3:$C$89&lt;=E$39)*('Work Activity'!$D$3:$D$89&gt;=E$39),0),0)),""))))</f>
        <v/>
      </c>
      <c r="F40" s="20" t="str" cm="1">
        <f t="array" ref="F40">IF(F$39="","",IF($AD$3="",
IF(COUNTIFS('Work Activity'!$C$3:$C$89,"&lt;="&amp;F$39,'Work Activity'!$D$3:$D$89,"&gt;="&amp;F$39)=0,"",
IFERROR(INDEX('Work Activity'!$F$3:$F$89,MATCH(1,INDEX(('Work Activity'!$C$3:$C$89&lt;=F$39)*('Work Activity'!$D$3:$D$89&gt;=F$39),0),0)),"")),
IF(COUNTIFS('Work Activity'!$A$3:$A$89,$AD$3,'Work Activity'!$C$3:$C$89,"&lt;="&amp;F$39,'Work Activity'!$D$3:$D$89,"&gt;="&amp;F$39)=0,"",
IFERROR(INDEX('Work Activity'!$F$3:$F$89,MATCH(1,INDEX(('Work Activity'!$A$3:$A$89=$AD$3)*('Work Activity'!$C$3:$C$89&lt;=F$39)*('Work Activity'!$D$3:$D$89&gt;=F$39),0),0)),""))))</f>
        <v/>
      </c>
      <c r="G40" s="20" t="str" cm="1">
        <f t="array" ref="G40">IF(G$39="","",IF($AD$3="",
IF(COUNTIFS('Work Activity'!$C$3:$C$89,"&lt;="&amp;G$39,'Work Activity'!$D$3:$D$89,"&gt;="&amp;G$39)=0,"",
IFERROR(INDEX('Work Activity'!$F$3:$F$89,MATCH(1,INDEX(('Work Activity'!$C$3:$C$89&lt;=G$39)*('Work Activity'!$D$3:$D$89&gt;=G$39),0),0)),"")),
IF(COUNTIFS('Work Activity'!$A$3:$A$89,$AD$3,'Work Activity'!$C$3:$C$89,"&lt;="&amp;G$39,'Work Activity'!$D$3:$D$89,"&gt;="&amp;G$39)=0,"",
IFERROR(INDEX('Work Activity'!$F$3:$F$89,MATCH(1,INDEX(('Work Activity'!$A$3:$A$89=$AD$3)*('Work Activity'!$C$3:$C$89&lt;=G$39)*('Work Activity'!$D$3:$D$89&gt;=G$39),0),0)),""))))</f>
        <v/>
      </c>
      <c r="H40" s="21" t="str" cm="1">
        <f t="array" ref="H40">IF(H$39="","",IF($AD$3="",
IF(COUNTIFS('Work Activity'!$C$3:$C$89,"&lt;="&amp;H$39,'Work Activity'!$D$3:$D$89,"&gt;="&amp;H$39)=0,"",
IFERROR(INDEX('Work Activity'!$F$3:$F$89,MATCH(1,INDEX(('Work Activity'!$C$3:$C$89&lt;=H$39)*('Work Activity'!$D$3:$D$89&gt;=H$39),0),0)),"")),
IF(COUNTIFS('Work Activity'!$A$3:$A$89,$AD$3,'Work Activity'!$C$3:$C$89,"&lt;="&amp;H$39,'Work Activity'!$D$3:$D$89,"&gt;="&amp;H$39)=0,"",
IFERROR(INDEX('Work Activity'!$F$3:$F$89,MATCH(1,INDEX(('Work Activity'!$A$3:$A$89=$AD$3)*('Work Activity'!$C$3:$C$89&lt;=H$39)*('Work Activity'!$D$3:$D$89&gt;=H$39),0),0)),""))))</f>
        <v/>
      </c>
      <c r="AA40" s="49"/>
      <c r="AB40" s="49"/>
      <c r="AC40" s="49"/>
      <c r="AD40" s="49"/>
      <c r="AE40" s="49"/>
    </row>
    <row r="41" spans="1:31" ht="50" customHeight="1">
      <c r="A41" s="6" t="str">
        <f>IF(AND($H$3="All",($AD$2+35)&lt;=EOMONTH($B$3,0),($AD$2+35)+6&gt;=$B$3),"MEETING","")</f>
        <v/>
      </c>
      <c r="B41" s="22" t="str">
        <f>IF(B$39="","",IF($AD$3="",IF(COUNTIFS('Meeting Activity'!$A$3:$A$62,B$39)=0,"",IFERROR(IF(INDEX('Meeting Activity'!$L$3:$L$62,MATCH("*"&amp;TEXT(B$39,"yyyymmdd"),'Meeting Activity'!$O$3:$O$62,0))="CLEAR","","! ")&amp;INDEX('Meeting Activity'!$D$3:$D$62,MATCH("*"&amp;TEXT(B$39,"yyyymmdd"),'Meeting Activity'!$O$3:$O$62,0))&amp;" • "&amp;INDEX('Meeting Activity'!$E$3:$E$62,MATCH("*"&amp;TEXT(B$39,"yyyymmdd"),'Meeting Activity'!$O$3:$O$62,0))&amp;CHAR(10)&amp;INDEX('Meeting Activity'!$F$3:$F$62,MATCH("*"&amp;TEXT(B$39,"yyyymmdd"),'Meeting Activity'!$O$3:$O$62,0))&amp;" "&amp;TEXT(INDEX('Meeting Activity'!$B$3:$B$62,MATCH("*"&amp;TEXT(B$39,"yyyymmdd"),'Meeting Activity'!$O$3:$O$62,0)),"hh:mm"),"")&amp;IF(COUNTIFS('Meeting Activity'!$A$3:$A$62,B$39)&gt;1,CHAR(10)&amp;"(+"&amp;(COUNTIFS('Meeting Activity'!$A$3:$A$62,B$39)-1)&amp;" more)","")),IF(COUNTIFS('Meeting Activity'!$D$3:$D$62,$AD$3,'Meeting Activity'!$A$3:$A$62,B$39)=0,"",IFERROR(IF(INDEX('Meeting Activity'!$L$3:$L$62,MATCH($AD$3&amp;TEXT(B$39,"yyyymmdd"),'Meeting Activity'!$O$3:$O$62,0))="CLEAR","","! ")&amp;INDEX('Meeting Activity'!$F$3:$F$62,MATCH($AD$3&amp;TEXT(B$39,"yyyymmdd"),'Meeting Activity'!$O$3:$O$62,0))&amp;" "&amp;TEXT(INDEX('Meeting Activity'!$B$3:$B$62,MATCH($AD$3&amp;TEXT(B$39,"yyyymmdd"),'Meeting Activity'!$O$3:$O$62,0)),"hh:mm"),"")&amp;IF(COUNTIFS('Meeting Activity'!$D$3:$D$62,$AD$3,'Meeting Activity'!$A$3:$A$62,B$39)&gt;1,CHAR(10)&amp;"(+"&amp;(COUNTIFS('Meeting Activity'!$D$3:$D$62,$AD$3,'Meeting Activity'!$A$3:$A$62,B$39)-1)&amp;" more)",""))))</f>
        <v/>
      </c>
      <c r="C41" s="23" t="str">
        <f>IF(C$39="","",IF($AD$3="",IF(COUNTIFS('Meeting Activity'!$A$3:$A$62,C$39)=0,"",IFERROR(IF(INDEX('Meeting Activity'!$L$3:$L$62,MATCH("*"&amp;TEXT(C$39,"yyyymmdd"),'Meeting Activity'!$O$3:$O$62,0))="CLEAR","","! ")&amp;INDEX('Meeting Activity'!$D$3:$D$62,MATCH("*"&amp;TEXT(C$39,"yyyymmdd"),'Meeting Activity'!$O$3:$O$62,0))&amp;" • "&amp;INDEX('Meeting Activity'!$E$3:$E$62,MATCH("*"&amp;TEXT(C$39,"yyyymmdd"),'Meeting Activity'!$O$3:$O$62,0))&amp;CHAR(10)&amp;INDEX('Meeting Activity'!$F$3:$F$62,MATCH("*"&amp;TEXT(C$39,"yyyymmdd"),'Meeting Activity'!$O$3:$O$62,0))&amp;" "&amp;TEXT(INDEX('Meeting Activity'!$B$3:$B$62,MATCH("*"&amp;TEXT(C$39,"yyyymmdd"),'Meeting Activity'!$O$3:$O$62,0)),"hh:mm"),"")&amp;IF(COUNTIFS('Meeting Activity'!$A$3:$A$62,C$39)&gt;1,CHAR(10)&amp;"(+"&amp;(COUNTIFS('Meeting Activity'!$A$3:$A$62,C$39)-1)&amp;" more)","")),IF(COUNTIFS('Meeting Activity'!$D$3:$D$62,$AD$3,'Meeting Activity'!$A$3:$A$62,C$39)=0,"",IFERROR(IF(INDEX('Meeting Activity'!$L$3:$L$62,MATCH($AD$3&amp;TEXT(C$39,"yyyymmdd"),'Meeting Activity'!$O$3:$O$62,0))="CLEAR","","! ")&amp;INDEX('Meeting Activity'!$F$3:$F$62,MATCH($AD$3&amp;TEXT(C$39,"yyyymmdd"),'Meeting Activity'!$O$3:$O$62,0))&amp;" "&amp;TEXT(INDEX('Meeting Activity'!$B$3:$B$62,MATCH($AD$3&amp;TEXT(C$39,"yyyymmdd"),'Meeting Activity'!$O$3:$O$62,0)),"hh:mm"),"")&amp;IF(COUNTIFS('Meeting Activity'!$D$3:$D$62,$AD$3,'Meeting Activity'!$A$3:$A$62,C$39)&gt;1,CHAR(10)&amp;"(+"&amp;(COUNTIFS('Meeting Activity'!$D$3:$D$62,$AD$3,'Meeting Activity'!$A$3:$A$62,C$39)-1)&amp;" more)",""))))</f>
        <v/>
      </c>
      <c r="D41" s="23" t="str">
        <f>IF(D$39="","",IF($AD$3="",IF(COUNTIFS('Meeting Activity'!$A$3:$A$62,D$39)=0,"",IFERROR(IF(INDEX('Meeting Activity'!$L$3:$L$62,MATCH("*"&amp;TEXT(D$39,"yyyymmdd"),'Meeting Activity'!$O$3:$O$62,0))="CLEAR","","! ")&amp;INDEX('Meeting Activity'!$D$3:$D$62,MATCH("*"&amp;TEXT(D$39,"yyyymmdd"),'Meeting Activity'!$O$3:$O$62,0))&amp;" • "&amp;INDEX('Meeting Activity'!$E$3:$E$62,MATCH("*"&amp;TEXT(D$39,"yyyymmdd"),'Meeting Activity'!$O$3:$O$62,0))&amp;CHAR(10)&amp;INDEX('Meeting Activity'!$F$3:$F$62,MATCH("*"&amp;TEXT(D$39,"yyyymmdd"),'Meeting Activity'!$O$3:$O$62,0))&amp;" "&amp;TEXT(INDEX('Meeting Activity'!$B$3:$B$62,MATCH("*"&amp;TEXT(D$39,"yyyymmdd"),'Meeting Activity'!$O$3:$O$62,0)),"hh:mm"),"")&amp;IF(COUNTIFS('Meeting Activity'!$A$3:$A$62,D$39)&gt;1,CHAR(10)&amp;"(+"&amp;(COUNTIFS('Meeting Activity'!$A$3:$A$62,D$39)-1)&amp;" more)","")),IF(COUNTIFS('Meeting Activity'!$D$3:$D$62,$AD$3,'Meeting Activity'!$A$3:$A$62,D$39)=0,"",IFERROR(IF(INDEX('Meeting Activity'!$L$3:$L$62,MATCH($AD$3&amp;TEXT(D$39,"yyyymmdd"),'Meeting Activity'!$O$3:$O$62,0))="CLEAR","","! ")&amp;INDEX('Meeting Activity'!$F$3:$F$62,MATCH($AD$3&amp;TEXT(D$39,"yyyymmdd"),'Meeting Activity'!$O$3:$O$62,0))&amp;" "&amp;TEXT(INDEX('Meeting Activity'!$B$3:$B$62,MATCH($AD$3&amp;TEXT(D$39,"yyyymmdd"),'Meeting Activity'!$O$3:$O$62,0)),"hh:mm"),"")&amp;IF(COUNTIFS('Meeting Activity'!$D$3:$D$62,$AD$3,'Meeting Activity'!$A$3:$A$62,D$39)&gt;1,CHAR(10)&amp;"(+"&amp;(COUNTIFS('Meeting Activity'!$D$3:$D$62,$AD$3,'Meeting Activity'!$A$3:$A$62,D$39)-1)&amp;" more)",""))))</f>
        <v/>
      </c>
      <c r="E41" s="23" t="str">
        <f>IF(E$39="","",IF($AD$3="",IF(COUNTIFS('Meeting Activity'!$A$3:$A$62,E$39)=0,"",IFERROR(IF(INDEX('Meeting Activity'!$L$3:$L$62,MATCH("*"&amp;TEXT(E$39,"yyyymmdd"),'Meeting Activity'!$O$3:$O$62,0))="CLEAR","","! ")&amp;INDEX('Meeting Activity'!$D$3:$D$62,MATCH("*"&amp;TEXT(E$39,"yyyymmdd"),'Meeting Activity'!$O$3:$O$62,0))&amp;" • "&amp;INDEX('Meeting Activity'!$E$3:$E$62,MATCH("*"&amp;TEXT(E$39,"yyyymmdd"),'Meeting Activity'!$O$3:$O$62,0))&amp;CHAR(10)&amp;INDEX('Meeting Activity'!$F$3:$F$62,MATCH("*"&amp;TEXT(E$39,"yyyymmdd"),'Meeting Activity'!$O$3:$O$62,0))&amp;" "&amp;TEXT(INDEX('Meeting Activity'!$B$3:$B$62,MATCH("*"&amp;TEXT(E$39,"yyyymmdd"),'Meeting Activity'!$O$3:$O$62,0)),"hh:mm"),"")&amp;IF(COUNTIFS('Meeting Activity'!$A$3:$A$62,E$39)&gt;1,CHAR(10)&amp;"(+"&amp;(COUNTIFS('Meeting Activity'!$A$3:$A$62,E$39)-1)&amp;" more)","")),IF(COUNTIFS('Meeting Activity'!$D$3:$D$62,$AD$3,'Meeting Activity'!$A$3:$A$62,E$39)=0,"",IFERROR(IF(INDEX('Meeting Activity'!$L$3:$L$62,MATCH($AD$3&amp;TEXT(E$39,"yyyymmdd"),'Meeting Activity'!$O$3:$O$62,0))="CLEAR","","! ")&amp;INDEX('Meeting Activity'!$F$3:$F$62,MATCH($AD$3&amp;TEXT(E$39,"yyyymmdd"),'Meeting Activity'!$O$3:$O$62,0))&amp;" "&amp;TEXT(INDEX('Meeting Activity'!$B$3:$B$62,MATCH($AD$3&amp;TEXT(E$39,"yyyymmdd"),'Meeting Activity'!$O$3:$O$62,0)),"hh:mm"),"")&amp;IF(COUNTIFS('Meeting Activity'!$D$3:$D$62,$AD$3,'Meeting Activity'!$A$3:$A$62,E$39)&gt;1,CHAR(10)&amp;"(+"&amp;(COUNTIFS('Meeting Activity'!$D$3:$D$62,$AD$3,'Meeting Activity'!$A$3:$A$62,E$39)-1)&amp;" more)",""))))</f>
        <v/>
      </c>
      <c r="F41" s="23" t="str">
        <f>IF(F$39="","",IF($AD$3="",IF(COUNTIFS('Meeting Activity'!$A$3:$A$62,F$39)=0,"",IFERROR(IF(INDEX('Meeting Activity'!$L$3:$L$62,MATCH("*"&amp;TEXT(F$39,"yyyymmdd"),'Meeting Activity'!$O$3:$O$62,0))="CLEAR","","! ")&amp;INDEX('Meeting Activity'!$D$3:$D$62,MATCH("*"&amp;TEXT(F$39,"yyyymmdd"),'Meeting Activity'!$O$3:$O$62,0))&amp;" • "&amp;INDEX('Meeting Activity'!$E$3:$E$62,MATCH("*"&amp;TEXT(F$39,"yyyymmdd"),'Meeting Activity'!$O$3:$O$62,0))&amp;CHAR(10)&amp;INDEX('Meeting Activity'!$F$3:$F$62,MATCH("*"&amp;TEXT(F$39,"yyyymmdd"),'Meeting Activity'!$O$3:$O$62,0))&amp;" "&amp;TEXT(INDEX('Meeting Activity'!$B$3:$B$62,MATCH("*"&amp;TEXT(F$39,"yyyymmdd"),'Meeting Activity'!$O$3:$O$62,0)),"hh:mm"),"")&amp;IF(COUNTIFS('Meeting Activity'!$A$3:$A$62,F$39)&gt;1,CHAR(10)&amp;"(+"&amp;(COUNTIFS('Meeting Activity'!$A$3:$A$62,F$39)-1)&amp;" more)","")),IF(COUNTIFS('Meeting Activity'!$D$3:$D$62,$AD$3,'Meeting Activity'!$A$3:$A$62,F$39)=0,"",IFERROR(IF(INDEX('Meeting Activity'!$L$3:$L$62,MATCH($AD$3&amp;TEXT(F$39,"yyyymmdd"),'Meeting Activity'!$O$3:$O$62,0))="CLEAR","","! ")&amp;INDEX('Meeting Activity'!$F$3:$F$62,MATCH($AD$3&amp;TEXT(F$39,"yyyymmdd"),'Meeting Activity'!$O$3:$O$62,0))&amp;" "&amp;TEXT(INDEX('Meeting Activity'!$B$3:$B$62,MATCH($AD$3&amp;TEXT(F$39,"yyyymmdd"),'Meeting Activity'!$O$3:$O$62,0)),"hh:mm"),"")&amp;IF(COUNTIFS('Meeting Activity'!$D$3:$D$62,$AD$3,'Meeting Activity'!$A$3:$A$62,F$39)&gt;1,CHAR(10)&amp;"(+"&amp;(COUNTIFS('Meeting Activity'!$D$3:$D$62,$AD$3,'Meeting Activity'!$A$3:$A$62,F$39)-1)&amp;" more)",""))))</f>
        <v/>
      </c>
      <c r="G41" s="23" t="str">
        <f>IF(G$39="","",IF($AD$3="",IF(COUNTIFS('Meeting Activity'!$A$3:$A$62,G$39)=0,"",IFERROR(IF(INDEX('Meeting Activity'!$L$3:$L$62,MATCH("*"&amp;TEXT(G$39,"yyyymmdd"),'Meeting Activity'!$O$3:$O$62,0))="CLEAR","","! ")&amp;INDEX('Meeting Activity'!$D$3:$D$62,MATCH("*"&amp;TEXT(G$39,"yyyymmdd"),'Meeting Activity'!$O$3:$O$62,0))&amp;" • "&amp;INDEX('Meeting Activity'!$E$3:$E$62,MATCH("*"&amp;TEXT(G$39,"yyyymmdd"),'Meeting Activity'!$O$3:$O$62,0))&amp;CHAR(10)&amp;INDEX('Meeting Activity'!$F$3:$F$62,MATCH("*"&amp;TEXT(G$39,"yyyymmdd"),'Meeting Activity'!$O$3:$O$62,0))&amp;" "&amp;TEXT(INDEX('Meeting Activity'!$B$3:$B$62,MATCH("*"&amp;TEXT(G$39,"yyyymmdd"),'Meeting Activity'!$O$3:$O$62,0)),"hh:mm"),"")&amp;IF(COUNTIFS('Meeting Activity'!$A$3:$A$62,G$39)&gt;1,CHAR(10)&amp;"(+"&amp;(COUNTIFS('Meeting Activity'!$A$3:$A$62,G$39)-1)&amp;" more)","")),IF(COUNTIFS('Meeting Activity'!$D$3:$D$62,$AD$3,'Meeting Activity'!$A$3:$A$62,G$39)=0,"",IFERROR(IF(INDEX('Meeting Activity'!$L$3:$L$62,MATCH($AD$3&amp;TEXT(G$39,"yyyymmdd"),'Meeting Activity'!$O$3:$O$62,0))="CLEAR","","! ")&amp;INDEX('Meeting Activity'!$F$3:$F$62,MATCH($AD$3&amp;TEXT(G$39,"yyyymmdd"),'Meeting Activity'!$O$3:$O$62,0))&amp;" "&amp;TEXT(INDEX('Meeting Activity'!$B$3:$B$62,MATCH($AD$3&amp;TEXT(G$39,"yyyymmdd"),'Meeting Activity'!$O$3:$O$62,0)),"hh:mm"),"")&amp;IF(COUNTIFS('Meeting Activity'!$D$3:$D$62,$AD$3,'Meeting Activity'!$A$3:$A$62,G$39)&gt;1,CHAR(10)&amp;"(+"&amp;(COUNTIFS('Meeting Activity'!$D$3:$D$62,$AD$3,'Meeting Activity'!$A$3:$A$62,G$39)-1)&amp;" more)",""))))</f>
        <v/>
      </c>
      <c r="H41" s="24" t="str">
        <f>IF(H$39="","",IF($AD$3="",IF(COUNTIFS('Meeting Activity'!$A$3:$A$62,H$39)=0,"",IFERROR(IF(INDEX('Meeting Activity'!$L$3:$L$62,MATCH("*"&amp;TEXT(H$39,"yyyymmdd"),'Meeting Activity'!$O$3:$O$62,0))="CLEAR","","! ")&amp;INDEX('Meeting Activity'!$D$3:$D$62,MATCH("*"&amp;TEXT(H$39,"yyyymmdd"),'Meeting Activity'!$O$3:$O$62,0))&amp;" • "&amp;INDEX('Meeting Activity'!$E$3:$E$62,MATCH("*"&amp;TEXT(H$39,"yyyymmdd"),'Meeting Activity'!$O$3:$O$62,0))&amp;CHAR(10)&amp;INDEX('Meeting Activity'!$F$3:$F$62,MATCH("*"&amp;TEXT(H$39,"yyyymmdd"),'Meeting Activity'!$O$3:$O$62,0))&amp;" "&amp;TEXT(INDEX('Meeting Activity'!$B$3:$B$62,MATCH("*"&amp;TEXT(H$39,"yyyymmdd"),'Meeting Activity'!$O$3:$O$62,0)),"hh:mm"),"")&amp;IF(COUNTIFS('Meeting Activity'!$A$3:$A$62,H$39)&gt;1,CHAR(10)&amp;"(+"&amp;(COUNTIFS('Meeting Activity'!$A$3:$A$62,H$39)-1)&amp;" more)","")),IF(COUNTIFS('Meeting Activity'!$D$3:$D$62,$AD$3,'Meeting Activity'!$A$3:$A$62,H$39)=0,"",IFERROR(IF(INDEX('Meeting Activity'!$L$3:$L$62,MATCH($AD$3&amp;TEXT(H$39,"yyyymmdd"),'Meeting Activity'!$O$3:$O$62,0))="CLEAR","","! ")&amp;INDEX('Meeting Activity'!$F$3:$F$62,MATCH($AD$3&amp;TEXT(H$39,"yyyymmdd"),'Meeting Activity'!$O$3:$O$62,0))&amp;" "&amp;TEXT(INDEX('Meeting Activity'!$B$3:$B$62,MATCH($AD$3&amp;TEXT(H$39,"yyyymmdd"),'Meeting Activity'!$O$3:$O$62,0)),"hh:mm"),"")&amp;IF(COUNTIFS('Meeting Activity'!$D$3:$D$62,$AD$3,'Meeting Activity'!$A$3:$A$62,H$39)&gt;1,CHAR(10)&amp;"(+"&amp;(COUNTIFS('Meeting Activity'!$D$3:$D$62,$AD$3,'Meeting Activity'!$A$3:$A$62,H$39)-1)&amp;" more)",""))))</f>
        <v/>
      </c>
      <c r="AA41" s="49"/>
      <c r="AB41" s="49"/>
      <c r="AC41" s="49"/>
      <c r="AD41" s="49"/>
      <c r="AE41" s="49"/>
    </row>
    <row r="42" spans="1:31" ht="50" customHeight="1">
      <c r="A42" s="7" t="str">
        <f>IF(AND($H$3="All",($AD$2+35)&lt;=EOMONTH($B$3,0),($AD$2+35)+6&gt;=$B$3),"OTHER","")</f>
        <v/>
      </c>
      <c r="B42" s="25" t="str">
        <f>IF(B$39="","",IF(COUNTIFS('Other Activities'!$A$3:$A$102,B$39)=0,"",IFERROR(INDEX('Other Activities'!$B$3:$B$102,MATCH(B$39,'Other Activities'!$A$3:$A$102,0))&amp;IF(INDEX('Other Activities'!$C$3:$C$102,MATCH(B$39,'Other Activities'!$A$3:$A$102,0))&lt;&gt;"",CHAR(10)&amp;INDEX('Other Activities'!$C$3:$C$102,MATCH(B$39,'Other Activities'!$A$3:$A$102,0)),""),"")&amp;IF(COUNTIFS('Other Activities'!$A$3:$A$102,B$39)&gt;1,CHAR(10)&amp;"(+"&amp;(COUNTIFS('Other Activities'!$A$3:$A$102,B$39)-1)&amp;" more)","")))</f>
        <v/>
      </c>
      <c r="C42" s="26" t="str">
        <f>IF(C$39="","",IF(COUNTIFS('Other Activities'!$A$3:$A$102,C$39)=0,"",IFERROR(INDEX('Other Activities'!$B$3:$B$102,MATCH(C$39,'Other Activities'!$A$3:$A$102,0))&amp;IF(INDEX('Other Activities'!$C$3:$C$102,MATCH(C$39,'Other Activities'!$A$3:$A$102,0))&lt;&gt;"",CHAR(10)&amp;INDEX('Other Activities'!$C$3:$C$102,MATCH(C$39,'Other Activities'!$A$3:$A$102,0)),""),"")&amp;IF(COUNTIFS('Other Activities'!$A$3:$A$102,C$39)&gt;1,CHAR(10)&amp;"(+"&amp;(COUNTIFS('Other Activities'!$A$3:$A$102,C$39)-1)&amp;" more)","")))</f>
        <v/>
      </c>
      <c r="D42" s="26" t="str">
        <f>IF(D$39="","",IF(COUNTIFS('Other Activities'!$A$3:$A$102,D$39)=0,"",IFERROR(INDEX('Other Activities'!$B$3:$B$102,MATCH(D$39,'Other Activities'!$A$3:$A$102,0))&amp;IF(INDEX('Other Activities'!$C$3:$C$102,MATCH(D$39,'Other Activities'!$A$3:$A$102,0))&lt;&gt;"",CHAR(10)&amp;INDEX('Other Activities'!$C$3:$C$102,MATCH(D$39,'Other Activities'!$A$3:$A$102,0)),""),"")&amp;IF(COUNTIFS('Other Activities'!$A$3:$A$102,D$39)&gt;1,CHAR(10)&amp;"(+"&amp;(COUNTIFS('Other Activities'!$A$3:$A$102,D$39)-1)&amp;" more)","")))</f>
        <v/>
      </c>
      <c r="E42" s="26" t="str">
        <f>IF(E$39="","",IF(COUNTIFS('Other Activities'!$A$3:$A$102,E$39)=0,"",IFERROR(INDEX('Other Activities'!$B$3:$B$102,MATCH(E$39,'Other Activities'!$A$3:$A$102,0))&amp;IF(INDEX('Other Activities'!$C$3:$C$102,MATCH(E$39,'Other Activities'!$A$3:$A$102,0))&lt;&gt;"",CHAR(10)&amp;INDEX('Other Activities'!$C$3:$C$102,MATCH(E$39,'Other Activities'!$A$3:$A$102,0)),""),"")&amp;IF(COUNTIFS('Other Activities'!$A$3:$A$102,E$39)&gt;1,CHAR(10)&amp;"(+"&amp;(COUNTIFS('Other Activities'!$A$3:$A$102,E$39)-1)&amp;" more)","")))</f>
        <v/>
      </c>
      <c r="F42" s="26" t="str">
        <f>IF(F$39="","",IF(COUNTIFS('Other Activities'!$A$3:$A$102,F$39)=0,"",IFERROR(INDEX('Other Activities'!$B$3:$B$102,MATCH(F$39,'Other Activities'!$A$3:$A$102,0))&amp;IF(INDEX('Other Activities'!$C$3:$C$102,MATCH(F$39,'Other Activities'!$A$3:$A$102,0))&lt;&gt;"",CHAR(10)&amp;INDEX('Other Activities'!$C$3:$C$102,MATCH(F$39,'Other Activities'!$A$3:$A$102,0)),""),"")&amp;IF(COUNTIFS('Other Activities'!$A$3:$A$102,F$39)&gt;1,CHAR(10)&amp;"(+"&amp;(COUNTIFS('Other Activities'!$A$3:$A$102,F$39)-1)&amp;" more)","")))</f>
        <v/>
      </c>
      <c r="G42" s="26" t="str">
        <f>IF(G$39="","",IF(COUNTIFS('Other Activities'!$A$3:$A$102,G$39)=0,"",IFERROR(INDEX('Other Activities'!$B$3:$B$102,MATCH(G$39,'Other Activities'!$A$3:$A$102,0))&amp;IF(INDEX('Other Activities'!$C$3:$C$102,MATCH(G$39,'Other Activities'!$A$3:$A$102,0))&lt;&gt;"",CHAR(10)&amp;INDEX('Other Activities'!$C$3:$C$102,MATCH(G$39,'Other Activities'!$A$3:$A$102,0)),""),"")&amp;IF(COUNTIFS('Other Activities'!$A$3:$A$102,G$39)&gt;1,CHAR(10)&amp;"(+"&amp;(COUNTIFS('Other Activities'!$A$3:$A$102,G$39)-1)&amp;" more)","")))</f>
        <v/>
      </c>
      <c r="H42" s="27" t="str">
        <f>IF(H$39="","",IF(COUNTIFS('Other Activities'!$A$3:$A$102,H$39)=0,"",IFERROR(INDEX('Other Activities'!$B$3:$B$102,MATCH(H$39,'Other Activities'!$A$3:$A$102,0))&amp;IF(INDEX('Other Activities'!$C$3:$C$102,MATCH(H$39,'Other Activities'!$A$3:$A$102,0))&lt;&gt;"",CHAR(10)&amp;INDEX('Other Activities'!$C$3:$C$102,MATCH(H$39,'Other Activities'!$A$3:$A$102,0)),""),"")&amp;IF(COUNTIFS('Other Activities'!$A$3:$A$102,H$39)&gt;1,CHAR(10)&amp;"(+"&amp;(COUNTIFS('Other Activities'!$A$3:$A$102,H$39)-1)&amp;" more)","")))</f>
        <v/>
      </c>
      <c r="AA42" s="49"/>
      <c r="AB42" s="49"/>
      <c r="AC42" s="49"/>
      <c r="AD42" s="49"/>
      <c r="AE42" s="49"/>
    </row>
    <row r="43" spans="1:31">
      <c r="AA43" s="49"/>
      <c r="AB43" s="49"/>
      <c r="AC43" s="49"/>
      <c r="AD43" s="49"/>
      <c r="AE43" s="49"/>
    </row>
    <row r="44" spans="1:31">
      <c r="A44" s="84" t="s">
        <v>270</v>
      </c>
      <c r="B44" s="73"/>
      <c r="C44" s="73"/>
      <c r="D44" s="73"/>
      <c r="E44" s="73"/>
      <c r="F44" s="73"/>
      <c r="G44" s="73"/>
      <c r="H44" s="73"/>
      <c r="AA44" s="49"/>
      <c r="AB44" s="49"/>
      <c r="AC44" s="49"/>
      <c r="AD44" s="49"/>
      <c r="AE44" s="49"/>
    </row>
    <row r="45" spans="1:31">
      <c r="A45" s="73"/>
      <c r="B45" s="73"/>
      <c r="C45" s="73"/>
      <c r="D45" s="73"/>
      <c r="E45" s="73"/>
      <c r="F45" s="73"/>
      <c r="G45" s="73"/>
      <c r="H45" s="73"/>
      <c r="AA45" s="49"/>
      <c r="AB45" s="49"/>
      <c r="AC45" s="49"/>
      <c r="AD45" s="49"/>
      <c r="AE45" s="49"/>
    </row>
    <row r="46" spans="1:31">
      <c r="AA46" s="49"/>
      <c r="AB46" s="49"/>
      <c r="AC46" s="49"/>
      <c r="AD46" s="49"/>
      <c r="AE46" s="49"/>
    </row>
    <row r="47" spans="1:31">
      <c r="AA47" s="49"/>
      <c r="AB47" s="49"/>
      <c r="AC47" s="49"/>
      <c r="AD47" s="49"/>
      <c r="AE47" s="49"/>
    </row>
    <row r="48" spans="1:31">
      <c r="AA48" s="49"/>
      <c r="AB48" s="49"/>
      <c r="AC48" s="49"/>
      <c r="AD48" s="49"/>
      <c r="AE48" s="49"/>
    </row>
    <row r="49" spans="27:31">
      <c r="AA49" s="49"/>
      <c r="AB49" s="49"/>
      <c r="AC49" s="49"/>
      <c r="AD49" s="49"/>
      <c r="AE49" s="49"/>
    </row>
    <row r="50" spans="27:31">
      <c r="AA50" s="49"/>
      <c r="AB50" s="49"/>
      <c r="AC50" s="49"/>
      <c r="AD50" s="49"/>
      <c r="AE50" s="49"/>
    </row>
    <row r="51" spans="27:31">
      <c r="AA51" s="49"/>
      <c r="AB51" s="49"/>
      <c r="AC51" s="49"/>
      <c r="AD51" s="49"/>
      <c r="AE51" s="49"/>
    </row>
    <row r="52" spans="27:31">
      <c r="AA52" s="49"/>
      <c r="AB52" s="49"/>
      <c r="AC52" s="49"/>
      <c r="AD52" s="49"/>
      <c r="AE52" s="49"/>
    </row>
    <row r="53" spans="27:31">
      <c r="AA53" s="49"/>
      <c r="AB53" s="49"/>
      <c r="AC53" s="49"/>
      <c r="AD53" s="49"/>
      <c r="AE53" s="49"/>
    </row>
    <row r="54" spans="27:31">
      <c r="AA54" s="49"/>
      <c r="AB54" s="49"/>
      <c r="AC54" s="49"/>
      <c r="AD54" s="49"/>
      <c r="AE54" s="49"/>
    </row>
    <row r="55" spans="27:31">
      <c r="AA55" s="49"/>
      <c r="AB55" s="49"/>
      <c r="AC55" s="49"/>
      <c r="AD55" s="49"/>
      <c r="AE55" s="49"/>
    </row>
    <row r="56" spans="27:31">
      <c r="AA56" s="49"/>
      <c r="AB56" s="49"/>
      <c r="AC56" s="49"/>
      <c r="AD56" s="49"/>
      <c r="AE56" s="49"/>
    </row>
    <row r="57" spans="27:31">
      <c r="AA57" s="49"/>
      <c r="AB57" s="49"/>
      <c r="AC57" s="49"/>
      <c r="AD57" s="49"/>
      <c r="AE57" s="49"/>
    </row>
    <row r="58" spans="27:31">
      <c r="AA58" s="49"/>
      <c r="AB58" s="49"/>
      <c r="AC58" s="49"/>
      <c r="AD58" s="49"/>
      <c r="AE58" s="49"/>
    </row>
    <row r="59" spans="27:31">
      <c r="AA59" s="49"/>
      <c r="AB59" s="49"/>
      <c r="AC59" s="49"/>
      <c r="AD59" s="49"/>
      <c r="AE59" s="49"/>
    </row>
    <row r="60" spans="27:31">
      <c r="AA60" s="49"/>
      <c r="AB60" s="49"/>
      <c r="AC60" s="49"/>
      <c r="AD60" s="49"/>
      <c r="AE60" s="49"/>
    </row>
  </sheetData>
  <mergeCells count="19">
    <mergeCell ref="A20:H20"/>
    <mergeCell ref="A26:H26"/>
    <mergeCell ref="A32:H32"/>
    <mergeCell ref="A38:H38"/>
    <mergeCell ref="A44:H45"/>
    <mergeCell ref="A14:H14"/>
    <mergeCell ref="A1:H1"/>
    <mergeCell ref="A2:H2"/>
    <mergeCell ref="B3:C3"/>
    <mergeCell ref="E3:F3"/>
    <mergeCell ref="A5:B5"/>
    <mergeCell ref="C5:D5"/>
    <mergeCell ref="E5:F5"/>
    <mergeCell ref="G5:H5"/>
    <mergeCell ref="A6:B6"/>
    <mergeCell ref="C6:D6"/>
    <mergeCell ref="E6:F6"/>
    <mergeCell ref="G6:H6"/>
    <mergeCell ref="A8:H8"/>
  </mergeCells>
  <conditionalFormatting sqref="B9:H9">
    <cfRule type="expression" dxfId="111" priority="221">
      <formula>B9=""</formula>
    </cfRule>
  </conditionalFormatting>
  <conditionalFormatting sqref="B15:H15">
    <cfRule type="expression" dxfId="110" priority="222">
      <formula>B15=""</formula>
    </cfRule>
  </conditionalFormatting>
  <conditionalFormatting sqref="B39:H39">
    <cfRule type="expression" dxfId="109" priority="226">
      <formula>B39=""</formula>
    </cfRule>
  </conditionalFormatting>
  <conditionalFormatting sqref="A8:H9 A10:A12 C11:H12">
    <cfRule type="expression" dxfId="108" priority="227">
      <formula>NOT(AND((IF($H$3="All",$AD$2,$AD$2+7*(VALUE(RIGHT($H$3,1))-1)))&lt;=EOMONTH($B$3,0),(IF($H$3="All",$AD$2,$AD$2+7*(VALUE(RIGHT($H$3,1))-1)))+6&gt;=$B$3))</formula>
    </cfRule>
  </conditionalFormatting>
  <conditionalFormatting sqref="A14:H15 A16:A18">
    <cfRule type="expression" dxfId="107" priority="228">
      <formula>NOT(AND($H$3="All",($AD$2+7)&lt;=EOMONTH($B$3,0),($AD$2+7)+6&gt;=$B$3))</formula>
    </cfRule>
  </conditionalFormatting>
  <conditionalFormatting sqref="A20:H20 A21:A24">
    <cfRule type="expression" dxfId="106" priority="229">
      <formula>NOT(AND($H$3="All",($AD$2+14)&lt;=EOMONTH($B$3,0),($AD$2+14)+6&gt;=$B$3))</formula>
    </cfRule>
  </conditionalFormatting>
  <conditionalFormatting sqref="A26:H26 A27:A30">
    <cfRule type="expression" dxfId="105" priority="230">
      <formula>NOT(AND($H$3="All",($AD$2+21)&lt;=EOMONTH($B$3,0),($AD$2+21)+6&gt;=$B$3))</formula>
    </cfRule>
  </conditionalFormatting>
  <conditionalFormatting sqref="A32:H32 A33:A36">
    <cfRule type="expression" dxfId="104" priority="231">
      <formula>NOT(AND($H$3="All",($AD$2+28)&lt;=EOMONTH($B$3,0),($AD$2+28)+6&gt;=$B$3))</formula>
    </cfRule>
  </conditionalFormatting>
  <conditionalFormatting sqref="A38:H42">
    <cfRule type="expression" dxfId="103" priority="232">
      <formula>NOT(AND($H$3="All",($AD$2+35)&lt;=EOMONTH($B$3,0),($AD$2+35)+6&gt;=$B$3))</formula>
    </cfRule>
  </conditionalFormatting>
  <conditionalFormatting sqref="B10:H10">
    <cfRule type="expression" dxfId="5" priority="209">
      <formula>NOT(AND((IF($H$3="All",$AD$2,$AD$2+7*(VALUE(RIGHT($H$3,1))-1)))&lt;=EOMONTH($B$3,0),(IF($H$3="All",$AD$2,$AD$2+7*(VALUE(RIGHT($H$3,1))-1)))+6&gt;=$B$3))</formula>
    </cfRule>
  </conditionalFormatting>
  <conditionalFormatting sqref="C11:H12">
    <cfRule type="expression" dxfId="102" priority="200">
      <formula>NOT(AND((IF($H$3="All",$AD$2,$AD$2+7*(VALUE(RIGHT($H$3,1))-1)))&lt;=EOMONTH($B$3,0),(IF($H$3="All",$AD$2,$AD$2+7*(VALUE(RIGHT($H$3,1))-1)))+6&gt;=$B$3))</formula>
    </cfRule>
  </conditionalFormatting>
  <conditionalFormatting sqref="B10:H10">
    <cfRule type="expression" dxfId="4" priority="199">
      <formula>NOT(AND((IF($H$3="All",$AD$2,$AD$2+7*(VALUE(RIGHT($H$3,1))-1)))&lt;=EOMONTH($B$3,0),(IF($H$3="All",$AD$2,$AD$2+7*(VALUE(RIGHT($H$3,1))-1)))+6&gt;=$B$3))</formula>
    </cfRule>
  </conditionalFormatting>
  <conditionalFormatting sqref="C11:H11">
    <cfRule type="expression" dxfId="101" priority="178">
      <formula>NOT(AND((IF($H$3="All",$AD$2,$AD$2+7*(VALUE(RIGHT($H$3,1))-1)))&lt;=EOMONTH($B$3,0),(IF($H$3="All",$AD$2,$AD$2+7*(VALUE(RIGHT($H$3,1))-1)))+6&gt;=$B$3))</formula>
    </cfRule>
  </conditionalFormatting>
  <conditionalFormatting sqref="B10:H10">
    <cfRule type="expression" dxfId="3" priority="177">
      <formula>NOT(AND((IF($H$3="All",$AD$2,$AD$2+7*(VALUE(RIGHT($H$3,1))-1)))&lt;=EOMONTH($B$3,0),(IF($H$3="All",$AD$2,$AD$2+7*(VALUE(RIGHT($H$3,1))-1)))+6&gt;=$B$3))</formula>
    </cfRule>
  </conditionalFormatting>
  <conditionalFormatting sqref="C11:H11">
    <cfRule type="expression" dxfId="100" priority="176">
      <formula>NOT(AND((IF($H$3="All",$AD$2,$AD$2+7*(VALUE(RIGHT($H$3,1))-1)))&lt;=EOMONTH($B$3,0),(IF($H$3="All",$AD$2,$AD$2+7*(VALUE(RIGHT($H$3,1))-1)))+6&gt;=$B$3))</formula>
    </cfRule>
  </conditionalFormatting>
  <conditionalFormatting sqref="B11:H12">
    <cfRule type="expression" dxfId="99" priority="159">
      <formula>NOT(AND((IF($H$3="All",$AD$2,$AD$2+7*(VALUE(RIGHT($H$3,1))-1)))&lt;=EOMONTH($B$3,0),(IF($H$3="All",$AD$2,$AD$2+7*(VALUE(RIGHT($H$3,1))-1)))+6&gt;=$B$3))</formula>
    </cfRule>
  </conditionalFormatting>
  <conditionalFormatting sqref="B10:H10">
    <cfRule type="expression" dxfId="2" priority="158">
      <formula>NOT(AND((IF($H$3="All",$AD$2,$AD$2+7*(VALUE(RIGHT($H$3,1))-1)))&lt;=EOMONTH($B$3,0),(IF($H$3="All",$AD$2,$AD$2+7*(VALUE(RIGHT($H$3,1))-1)))+6&gt;=$B$3))</formula>
    </cfRule>
  </conditionalFormatting>
  <conditionalFormatting sqref="B11:H12">
    <cfRule type="expression" dxfId="98" priority="157">
      <formula>NOT(AND((IF($H$3="All",$AD$2,$AD$2+7*(VALUE(RIGHT($H$3,1))-1)))&lt;=EOMONTH($B$3,0),(IF($H$3="All",$AD$2,$AD$2+7*(VALUE(RIGHT($H$3,1))-1)))+6&gt;=$B$3))</formula>
    </cfRule>
  </conditionalFormatting>
  <conditionalFormatting sqref="B10:H10">
    <cfRule type="expression" dxfId="1" priority="156">
      <formula>NOT(AND((IF($H$3="All",$AD$2,$AD$2+7*(VALUE(RIGHT($H$3,1))-1)))&lt;=EOMONTH($B$3,0),(IF($H$3="All",$AD$2,$AD$2+7*(VALUE(RIGHT($H$3,1))-1)))+6&gt;=$B$3))</formula>
    </cfRule>
  </conditionalFormatting>
  <conditionalFormatting sqref="B11:H11">
    <cfRule type="expression" dxfId="97" priority="155">
      <formula>NOT(AND((IF($H$3="All",$AD$2,$AD$2+7*(VALUE(RIGHT($H$3,1))-1)))&lt;=EOMONTH($B$3,0),(IF($H$3="All",$AD$2,$AD$2+7*(VALUE(RIGHT($H$3,1))-1)))+6&gt;=$B$3))</formula>
    </cfRule>
  </conditionalFormatting>
  <conditionalFormatting sqref="B10:H10">
    <cfRule type="expression" dxfId="0" priority="154">
      <formula>NOT(AND((IF($H$3="All",$AD$2,$AD$2+7*(VALUE(RIGHT($H$3,1))-1)))&lt;=EOMONTH($B$3,0),(IF($H$3="All",$AD$2,$AD$2+7*(VALUE(RIGHT($H$3,1))-1)))+6&gt;=$B$3))</formula>
    </cfRule>
  </conditionalFormatting>
  <conditionalFormatting sqref="B11:H11">
    <cfRule type="expression" dxfId="96" priority="153">
      <formula>NOT(AND((IF($H$3="All",$AD$2,$AD$2+7*(VALUE(RIGHT($H$3,1))-1)))&lt;=EOMONTH($B$3,0),(IF($H$3="All",$AD$2,$AD$2+7*(VALUE(RIGHT($H$3,1))-1)))+6&gt;=$B$3))</formula>
    </cfRule>
  </conditionalFormatting>
  <conditionalFormatting sqref="B21:H21">
    <cfRule type="expression" dxfId="95" priority="95">
      <formula>B21=""</formula>
    </cfRule>
  </conditionalFormatting>
  <conditionalFormatting sqref="B21:H21">
    <cfRule type="expression" dxfId="94" priority="96">
      <formula>NOT(AND($H$3="All",($AD$2+7)&lt;=EOMONTH($B$3,0),($AD$2+7)+6&gt;=$B$3))</formula>
    </cfRule>
  </conditionalFormatting>
  <conditionalFormatting sqref="B27:H27">
    <cfRule type="expression" dxfId="93" priority="93">
      <formula>B27=""</formula>
    </cfRule>
  </conditionalFormatting>
  <conditionalFormatting sqref="B27:H27">
    <cfRule type="expression" dxfId="92" priority="94">
      <formula>NOT(AND($H$3="All",($AD$2+7)&lt;=EOMONTH($B$3,0),($AD$2+7)+6&gt;=$B$3))</formula>
    </cfRule>
  </conditionalFormatting>
  <conditionalFormatting sqref="B33:H33">
    <cfRule type="expression" dxfId="91" priority="91">
      <formula>B33=""</formula>
    </cfRule>
  </conditionalFormatting>
  <conditionalFormatting sqref="B33:H33">
    <cfRule type="expression" dxfId="90" priority="92">
      <formula>NOT(AND($H$3="All",($AD$2+7)&lt;=EOMONTH($B$3,0),($AD$2+7)+6&gt;=$B$3))</formula>
    </cfRule>
  </conditionalFormatting>
  <conditionalFormatting sqref="C17:H18">
    <cfRule type="expression" dxfId="89" priority="56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88" priority="55">
      <formula>NOT(AND((IF($H$3="All",$AD$2,$AD$2+7*(VALUE(RIGHT($H$3,1))-1)))&lt;=EOMONTH($B$3,0),(IF($H$3="All",$AD$2,$AD$2+7*(VALUE(RIGHT($H$3,1))-1)))+6&gt;=$B$3))</formula>
    </cfRule>
  </conditionalFormatting>
  <conditionalFormatting sqref="C17:H18">
    <cfRule type="expression" dxfId="87" priority="54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86" priority="53">
      <formula>NOT(AND((IF($H$3="All",$AD$2,$AD$2+7*(VALUE(RIGHT($H$3,1))-1)))&lt;=EOMONTH($B$3,0),(IF($H$3="All",$AD$2,$AD$2+7*(VALUE(RIGHT($H$3,1))-1)))+6&gt;=$B$3))</formula>
    </cfRule>
  </conditionalFormatting>
  <conditionalFormatting sqref="C17:H17">
    <cfRule type="expression" dxfId="85" priority="52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84" priority="51">
      <formula>NOT(AND((IF($H$3="All",$AD$2,$AD$2+7*(VALUE(RIGHT($H$3,1))-1)))&lt;=EOMONTH($B$3,0),(IF($H$3="All",$AD$2,$AD$2+7*(VALUE(RIGHT($H$3,1))-1)))+6&gt;=$B$3))</formula>
    </cfRule>
  </conditionalFormatting>
  <conditionalFormatting sqref="C17:H17">
    <cfRule type="expression" dxfId="83" priority="50">
      <formula>NOT(AND((IF($H$3="All",$AD$2,$AD$2+7*(VALUE(RIGHT($H$3,1))-1)))&lt;=EOMONTH($B$3,0),(IF($H$3="All",$AD$2,$AD$2+7*(VALUE(RIGHT($H$3,1))-1)))+6&gt;=$B$3))</formula>
    </cfRule>
  </conditionalFormatting>
  <conditionalFormatting sqref="B17:H18">
    <cfRule type="expression" dxfId="82" priority="49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81" priority="48">
      <formula>NOT(AND((IF($H$3="All",$AD$2,$AD$2+7*(VALUE(RIGHT($H$3,1))-1)))&lt;=EOMONTH($B$3,0),(IF($H$3="All",$AD$2,$AD$2+7*(VALUE(RIGHT($H$3,1))-1)))+6&gt;=$B$3))</formula>
    </cfRule>
  </conditionalFormatting>
  <conditionalFormatting sqref="B17:H18">
    <cfRule type="expression" dxfId="80" priority="47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79" priority="46">
      <formula>NOT(AND((IF($H$3="All",$AD$2,$AD$2+7*(VALUE(RIGHT($H$3,1))-1)))&lt;=EOMONTH($B$3,0),(IF($H$3="All",$AD$2,$AD$2+7*(VALUE(RIGHT($H$3,1))-1)))+6&gt;=$B$3))</formula>
    </cfRule>
  </conditionalFormatting>
  <conditionalFormatting sqref="B17:H17">
    <cfRule type="expression" dxfId="78" priority="45">
      <formula>NOT(AND((IF($H$3="All",$AD$2,$AD$2+7*(VALUE(RIGHT($H$3,1))-1)))&lt;=EOMONTH($B$3,0),(IF($H$3="All",$AD$2,$AD$2+7*(VALUE(RIGHT($H$3,1))-1)))+6&gt;=$B$3))</formula>
    </cfRule>
  </conditionalFormatting>
  <conditionalFormatting sqref="B16:H16">
    <cfRule type="expression" dxfId="77" priority="44">
      <formula>NOT(AND((IF($H$3="All",$AD$2,$AD$2+7*(VALUE(RIGHT($H$3,1))-1)))&lt;=EOMONTH($B$3,0),(IF($H$3="All",$AD$2,$AD$2+7*(VALUE(RIGHT($H$3,1))-1)))+6&gt;=$B$3))</formula>
    </cfRule>
  </conditionalFormatting>
  <conditionalFormatting sqref="B17:H17">
    <cfRule type="expression" dxfId="76" priority="43">
      <formula>NOT(AND((IF($H$3="All",$AD$2,$AD$2+7*(VALUE(RIGHT($H$3,1))-1)))&lt;=EOMONTH($B$3,0),(IF($H$3="All",$AD$2,$AD$2+7*(VALUE(RIGHT($H$3,1))-1)))+6&gt;=$B$3))</formula>
    </cfRule>
  </conditionalFormatting>
  <conditionalFormatting sqref="C23:H24">
    <cfRule type="expression" dxfId="75" priority="42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74" priority="41">
      <formula>NOT(AND((IF($H$3="All",$AD$2,$AD$2+7*(VALUE(RIGHT($H$3,1))-1)))&lt;=EOMONTH($B$3,0),(IF($H$3="All",$AD$2,$AD$2+7*(VALUE(RIGHT($H$3,1))-1)))+6&gt;=$B$3))</formula>
    </cfRule>
  </conditionalFormatting>
  <conditionalFormatting sqref="C23:H24">
    <cfRule type="expression" dxfId="73" priority="40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72" priority="39">
      <formula>NOT(AND((IF($H$3="All",$AD$2,$AD$2+7*(VALUE(RIGHT($H$3,1))-1)))&lt;=EOMONTH($B$3,0),(IF($H$3="All",$AD$2,$AD$2+7*(VALUE(RIGHT($H$3,1))-1)))+6&gt;=$B$3))</formula>
    </cfRule>
  </conditionalFormatting>
  <conditionalFormatting sqref="C23:H23">
    <cfRule type="expression" dxfId="71" priority="38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70" priority="37">
      <formula>NOT(AND((IF($H$3="All",$AD$2,$AD$2+7*(VALUE(RIGHT($H$3,1))-1)))&lt;=EOMONTH($B$3,0),(IF($H$3="All",$AD$2,$AD$2+7*(VALUE(RIGHT($H$3,1))-1)))+6&gt;=$B$3))</formula>
    </cfRule>
  </conditionalFormatting>
  <conditionalFormatting sqref="C23:H23">
    <cfRule type="expression" dxfId="69" priority="36">
      <formula>NOT(AND((IF($H$3="All",$AD$2,$AD$2+7*(VALUE(RIGHT($H$3,1))-1)))&lt;=EOMONTH($B$3,0),(IF($H$3="All",$AD$2,$AD$2+7*(VALUE(RIGHT($H$3,1))-1)))+6&gt;=$B$3))</formula>
    </cfRule>
  </conditionalFormatting>
  <conditionalFormatting sqref="B23:H24">
    <cfRule type="expression" dxfId="68" priority="35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67" priority="34">
      <formula>NOT(AND((IF($H$3="All",$AD$2,$AD$2+7*(VALUE(RIGHT($H$3,1))-1)))&lt;=EOMONTH($B$3,0),(IF($H$3="All",$AD$2,$AD$2+7*(VALUE(RIGHT($H$3,1))-1)))+6&gt;=$B$3))</formula>
    </cfRule>
  </conditionalFormatting>
  <conditionalFormatting sqref="B23:H24">
    <cfRule type="expression" dxfId="66" priority="33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65" priority="32">
      <formula>NOT(AND((IF($H$3="All",$AD$2,$AD$2+7*(VALUE(RIGHT($H$3,1))-1)))&lt;=EOMONTH($B$3,0),(IF($H$3="All",$AD$2,$AD$2+7*(VALUE(RIGHT($H$3,1))-1)))+6&gt;=$B$3))</formula>
    </cfRule>
  </conditionalFormatting>
  <conditionalFormatting sqref="B23:H23">
    <cfRule type="expression" dxfId="64" priority="31">
      <formula>NOT(AND((IF($H$3="All",$AD$2,$AD$2+7*(VALUE(RIGHT($H$3,1))-1)))&lt;=EOMONTH($B$3,0),(IF($H$3="All",$AD$2,$AD$2+7*(VALUE(RIGHT($H$3,1))-1)))+6&gt;=$B$3))</formula>
    </cfRule>
  </conditionalFormatting>
  <conditionalFormatting sqref="B22:H22">
    <cfRule type="expression" dxfId="63" priority="30">
      <formula>NOT(AND((IF($H$3="All",$AD$2,$AD$2+7*(VALUE(RIGHT($H$3,1))-1)))&lt;=EOMONTH($B$3,0),(IF($H$3="All",$AD$2,$AD$2+7*(VALUE(RIGHT($H$3,1))-1)))+6&gt;=$B$3))</formula>
    </cfRule>
  </conditionalFormatting>
  <conditionalFormatting sqref="B23:H23">
    <cfRule type="expression" dxfId="62" priority="29">
      <formula>NOT(AND((IF($H$3="All",$AD$2,$AD$2+7*(VALUE(RIGHT($H$3,1))-1)))&lt;=EOMONTH($B$3,0),(IF($H$3="All",$AD$2,$AD$2+7*(VALUE(RIGHT($H$3,1))-1)))+6&gt;=$B$3))</formula>
    </cfRule>
  </conditionalFormatting>
  <conditionalFormatting sqref="C29:H30">
    <cfRule type="expression" dxfId="61" priority="28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60" priority="27">
      <formula>NOT(AND((IF($H$3="All",$AD$2,$AD$2+7*(VALUE(RIGHT($H$3,1))-1)))&lt;=EOMONTH($B$3,0),(IF($H$3="All",$AD$2,$AD$2+7*(VALUE(RIGHT($H$3,1))-1)))+6&gt;=$B$3))</formula>
    </cfRule>
  </conditionalFormatting>
  <conditionalFormatting sqref="C29:H30">
    <cfRule type="expression" dxfId="59" priority="26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58" priority="25">
      <formula>NOT(AND((IF($H$3="All",$AD$2,$AD$2+7*(VALUE(RIGHT($H$3,1))-1)))&lt;=EOMONTH($B$3,0),(IF($H$3="All",$AD$2,$AD$2+7*(VALUE(RIGHT($H$3,1))-1)))+6&gt;=$B$3))</formula>
    </cfRule>
  </conditionalFormatting>
  <conditionalFormatting sqref="C29:H29">
    <cfRule type="expression" dxfId="57" priority="24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56" priority="23">
      <formula>NOT(AND((IF($H$3="All",$AD$2,$AD$2+7*(VALUE(RIGHT($H$3,1))-1)))&lt;=EOMONTH($B$3,0),(IF($H$3="All",$AD$2,$AD$2+7*(VALUE(RIGHT($H$3,1))-1)))+6&gt;=$B$3))</formula>
    </cfRule>
  </conditionalFormatting>
  <conditionalFormatting sqref="C29:H29">
    <cfRule type="expression" dxfId="55" priority="22">
      <formula>NOT(AND((IF($H$3="All",$AD$2,$AD$2+7*(VALUE(RIGHT($H$3,1))-1)))&lt;=EOMONTH($B$3,0),(IF($H$3="All",$AD$2,$AD$2+7*(VALUE(RIGHT($H$3,1))-1)))+6&gt;=$B$3))</formula>
    </cfRule>
  </conditionalFormatting>
  <conditionalFormatting sqref="B29:H30">
    <cfRule type="expression" dxfId="54" priority="21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53" priority="20">
      <formula>NOT(AND((IF($H$3="All",$AD$2,$AD$2+7*(VALUE(RIGHT($H$3,1))-1)))&lt;=EOMONTH($B$3,0),(IF($H$3="All",$AD$2,$AD$2+7*(VALUE(RIGHT($H$3,1))-1)))+6&gt;=$B$3))</formula>
    </cfRule>
  </conditionalFormatting>
  <conditionalFormatting sqref="B29:H30">
    <cfRule type="expression" dxfId="52" priority="19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51" priority="18">
      <formula>NOT(AND((IF($H$3="All",$AD$2,$AD$2+7*(VALUE(RIGHT($H$3,1))-1)))&lt;=EOMONTH($B$3,0),(IF($H$3="All",$AD$2,$AD$2+7*(VALUE(RIGHT($H$3,1))-1)))+6&gt;=$B$3))</formula>
    </cfRule>
  </conditionalFormatting>
  <conditionalFormatting sqref="B29:H29">
    <cfRule type="expression" dxfId="50" priority="17">
      <formula>NOT(AND((IF($H$3="All",$AD$2,$AD$2+7*(VALUE(RIGHT($H$3,1))-1)))&lt;=EOMONTH($B$3,0),(IF($H$3="All",$AD$2,$AD$2+7*(VALUE(RIGHT($H$3,1))-1)))+6&gt;=$B$3))</formula>
    </cfRule>
  </conditionalFormatting>
  <conditionalFormatting sqref="B28:H28">
    <cfRule type="expression" dxfId="49" priority="16">
      <formula>NOT(AND((IF($H$3="All",$AD$2,$AD$2+7*(VALUE(RIGHT($H$3,1))-1)))&lt;=EOMONTH($B$3,0),(IF($H$3="All",$AD$2,$AD$2+7*(VALUE(RIGHT($H$3,1))-1)))+6&gt;=$B$3))</formula>
    </cfRule>
  </conditionalFormatting>
  <conditionalFormatting sqref="B29:H29">
    <cfRule type="expression" dxfId="48" priority="15">
      <formula>NOT(AND((IF($H$3="All",$AD$2,$AD$2+7*(VALUE(RIGHT($H$3,1))-1)))&lt;=EOMONTH($B$3,0),(IF($H$3="All",$AD$2,$AD$2+7*(VALUE(RIGHT($H$3,1))-1)))+6&gt;=$B$3))</formula>
    </cfRule>
  </conditionalFormatting>
  <conditionalFormatting sqref="C35:H36">
    <cfRule type="expression" dxfId="47" priority="14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46" priority="13">
      <formula>NOT(AND((IF($H$3="All",$AD$2,$AD$2+7*(VALUE(RIGHT($H$3,1))-1)))&lt;=EOMONTH($B$3,0),(IF($H$3="All",$AD$2,$AD$2+7*(VALUE(RIGHT($H$3,1))-1)))+6&gt;=$B$3))</formula>
    </cfRule>
  </conditionalFormatting>
  <conditionalFormatting sqref="C35:H36">
    <cfRule type="expression" dxfId="45" priority="12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44" priority="11">
      <formula>NOT(AND((IF($H$3="All",$AD$2,$AD$2+7*(VALUE(RIGHT($H$3,1))-1)))&lt;=EOMONTH($B$3,0),(IF($H$3="All",$AD$2,$AD$2+7*(VALUE(RIGHT($H$3,1))-1)))+6&gt;=$B$3))</formula>
    </cfRule>
  </conditionalFormatting>
  <conditionalFormatting sqref="C35:H35">
    <cfRule type="expression" dxfId="43" priority="10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42" priority="9">
      <formula>NOT(AND((IF($H$3="All",$AD$2,$AD$2+7*(VALUE(RIGHT($H$3,1))-1)))&lt;=EOMONTH($B$3,0),(IF($H$3="All",$AD$2,$AD$2+7*(VALUE(RIGHT($H$3,1))-1)))+6&gt;=$B$3))</formula>
    </cfRule>
  </conditionalFormatting>
  <conditionalFormatting sqref="C35:H35">
    <cfRule type="expression" dxfId="41" priority="8">
      <formula>NOT(AND((IF($H$3="All",$AD$2,$AD$2+7*(VALUE(RIGHT($H$3,1))-1)))&lt;=EOMONTH($B$3,0),(IF($H$3="All",$AD$2,$AD$2+7*(VALUE(RIGHT($H$3,1))-1)))+6&gt;=$B$3))</formula>
    </cfRule>
  </conditionalFormatting>
  <conditionalFormatting sqref="B35:H36">
    <cfRule type="expression" dxfId="40" priority="7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39" priority="6">
      <formula>NOT(AND((IF($H$3="All",$AD$2,$AD$2+7*(VALUE(RIGHT($H$3,1))-1)))&lt;=EOMONTH($B$3,0),(IF($H$3="All",$AD$2,$AD$2+7*(VALUE(RIGHT($H$3,1))-1)))+6&gt;=$B$3))</formula>
    </cfRule>
  </conditionalFormatting>
  <conditionalFormatting sqref="B35:H36">
    <cfRule type="expression" dxfId="38" priority="5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37" priority="4">
      <formula>NOT(AND((IF($H$3="All",$AD$2,$AD$2+7*(VALUE(RIGHT($H$3,1))-1)))&lt;=EOMONTH($B$3,0),(IF($H$3="All",$AD$2,$AD$2+7*(VALUE(RIGHT($H$3,1))-1)))+6&gt;=$B$3))</formula>
    </cfRule>
  </conditionalFormatting>
  <conditionalFormatting sqref="B35:H35">
    <cfRule type="expression" dxfId="36" priority="3">
      <formula>NOT(AND((IF($H$3="All",$AD$2,$AD$2+7*(VALUE(RIGHT($H$3,1))-1)))&lt;=EOMONTH($B$3,0),(IF($H$3="All",$AD$2,$AD$2+7*(VALUE(RIGHT($H$3,1))-1)))+6&gt;=$B$3))</formula>
    </cfRule>
  </conditionalFormatting>
  <conditionalFormatting sqref="B34:H34">
    <cfRule type="expression" dxfId="35" priority="2">
      <formula>NOT(AND((IF($H$3="All",$AD$2,$AD$2+7*(VALUE(RIGHT($H$3,1))-1)))&lt;=EOMONTH($B$3,0),(IF($H$3="All",$AD$2,$AD$2+7*(VALUE(RIGHT($H$3,1))-1)))+6&gt;=$B$3))</formula>
    </cfRule>
  </conditionalFormatting>
  <conditionalFormatting sqref="B35:H35">
    <cfRule type="expression" dxfId="34" priority="1">
      <formula>NOT(AND((IF($H$3="All",$AD$2,$AD$2+7*(VALUE(RIGHT($H$3,1))-1)))&lt;=EOMONTH($B$3,0),(IF($H$3="All",$AD$2,$AD$2+7*(VALUE(RIGHT($H$3,1))-1)))+6&gt;=$B$3))</formula>
    </cfRule>
  </conditionalFormatting>
  <dataValidations disablePrompts="1" count="2">
    <dataValidation type="list" sqref="H3" xr:uid="{5A68BBF1-99EB-46A0-849F-5DF55D6AD2C0}">
      <formula1>DV_WeekFilter</formula1>
    </dataValidation>
    <dataValidation type="list" sqref="E3:F3" xr:uid="{86593339-7E0D-4775-9206-22845522F470}">
      <formula1>DV_ProjectFilter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7"/>
  <sheetViews>
    <sheetView workbookViewId="0">
      <pane ySplit="2" topLeftCell="A3" activePane="bottomLeft" state="frozen"/>
      <selection pane="bottomLeft" activeCell="I3" sqref="I3"/>
    </sheetView>
  </sheetViews>
  <sheetFormatPr defaultRowHeight="14"/>
  <cols>
    <col min="1" max="1" width="11" style="18" customWidth="1"/>
    <col min="2" max="2" width="29" style="18" customWidth="1"/>
    <col min="3" max="3" width="18" style="18" customWidth="1"/>
    <col min="4" max="5" width="14" style="18" customWidth="1"/>
    <col min="6" max="6" width="13" style="18" customWidth="1"/>
    <col min="7" max="7" width="15" style="18" customWidth="1"/>
    <col min="8" max="8" width="17" style="18" customWidth="1"/>
    <col min="9" max="12" width="12" style="18" customWidth="1"/>
    <col min="13" max="13" width="32" style="18" customWidth="1"/>
    <col min="14" max="14" width="14" style="18" customWidth="1"/>
  </cols>
  <sheetData>
    <row r="1" spans="1:14" ht="20" customHeight="1">
      <c r="A1" s="85" t="s">
        <v>154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</row>
    <row r="2" spans="1:14">
      <c r="A2" s="1" t="s">
        <v>24</v>
      </c>
      <c r="B2" s="1" t="s">
        <v>25</v>
      </c>
      <c r="C2" s="1" t="s">
        <v>26</v>
      </c>
      <c r="D2" s="1" t="s">
        <v>27</v>
      </c>
      <c r="E2" s="1" t="s">
        <v>28</v>
      </c>
      <c r="F2" s="1" t="s">
        <v>29</v>
      </c>
      <c r="G2" s="1" t="s">
        <v>30</v>
      </c>
      <c r="H2" s="1" t="s">
        <v>155</v>
      </c>
      <c r="I2" s="1" t="s">
        <v>156</v>
      </c>
      <c r="J2" s="1" t="s">
        <v>157</v>
      </c>
      <c r="K2" s="1" t="s">
        <v>158</v>
      </c>
      <c r="L2" s="1" t="s">
        <v>159</v>
      </c>
      <c r="M2" s="1" t="s">
        <v>160</v>
      </c>
      <c r="N2" s="3" t="s">
        <v>31</v>
      </c>
    </row>
    <row r="3" spans="1:14">
      <c r="A3" t="s">
        <v>50</v>
      </c>
      <c r="B3" t="str">
        <f>IFERROR(INDEX(Setup!$I$3:$I$17,MATCH($A3,Setup!$H$3:$H$17,0)),"")</f>
        <v>Rumah Pak Nata</v>
      </c>
      <c r="C3" t="str">
        <f>IFERROR(INDEX(Setup!$J$3:$J$17,MATCH($A3,Setup!$H$3:$H$17,0)),"")</f>
        <v>Residential</v>
      </c>
      <c r="D3" s="9">
        <f>IFERROR(INDEX(Setup!$K$3:$K$17,MATCH($A3,Setup!$H$3:$H$17,0)),"")</f>
        <v>46238</v>
      </c>
      <c r="E3" s="9">
        <f>IFERROR(INDEX(Setup!$L$3:$L$17,MATCH($A3,Setup!$H$3:$H$17,0)),"")</f>
        <v>46295</v>
      </c>
      <c r="F3">
        <f>IFERROR(INDEX(Setup!$M$3:$M$17,MATCH($A3,Setup!$H$3:$H$17,0)),"")</f>
        <v>2</v>
      </c>
      <c r="G3" t="str">
        <f>IFERROR(INDEX(Setup!$N$3:$N$17,MATCH($A3,Setup!$H$3:$H$17,0)),"")</f>
        <v>Active</v>
      </c>
      <c r="H3" t="s">
        <v>47</v>
      </c>
      <c r="I3" t="s">
        <v>75</v>
      </c>
      <c r="J3" t="s">
        <v>88</v>
      </c>
      <c r="K3" t="s">
        <v>102</v>
      </c>
      <c r="L3" t="s">
        <v>102</v>
      </c>
      <c r="M3" t="s">
        <v>161</v>
      </c>
      <c r="N3" t="str">
        <f>IFERROR(INDEX(Setup!$O$3:$O$17,MATCH($A3,Setup!$H$3:$H$17,0)),"")</f>
        <v>Big</v>
      </c>
    </row>
    <row r="4" spans="1:14">
      <c r="A4" t="s">
        <v>69</v>
      </c>
      <c r="B4" t="str">
        <f>IFERROR(INDEX(Setup!$I$3:$I$17,MATCH($A4,Setup!$H$3:$H$17,0)),"")</f>
        <v>Interior RS Mitra Medika</v>
      </c>
      <c r="C4" t="str">
        <f>IFERROR(INDEX(Setup!$J$3:$J$17,MATCH($A4,Setup!$H$3:$H$17,0)),"")</f>
        <v>Residential</v>
      </c>
      <c r="D4" s="9">
        <f>IFERROR(INDEX(Setup!$K$3:$K$17,MATCH($A4,Setup!$H$3:$H$17,0)),"")</f>
        <v>46266</v>
      </c>
      <c r="E4" s="9">
        <f>IFERROR(INDEX(Setup!$L$3:$L$17,MATCH($A4,Setup!$H$3:$H$17,0)),"")</f>
        <v>46417</v>
      </c>
      <c r="F4">
        <f>IFERROR(INDEX(Setup!$M$3:$M$17,MATCH($A4,Setup!$H$3:$H$17,0)),"")</f>
        <v>5</v>
      </c>
      <c r="G4" t="str">
        <f>IFERROR(INDEX(Setup!$N$3:$N$17,MATCH($A4,Setup!$H$3:$H$17,0)),"")</f>
        <v>Active</v>
      </c>
      <c r="H4" t="s">
        <v>83</v>
      </c>
      <c r="I4" t="s">
        <v>57</v>
      </c>
      <c r="J4" t="s">
        <v>75</v>
      </c>
      <c r="K4" t="s">
        <v>88</v>
      </c>
      <c r="L4" t="s">
        <v>102</v>
      </c>
      <c r="M4" t="s">
        <v>162</v>
      </c>
      <c r="N4" t="str">
        <f>IFERROR(INDEX(Setup!$O$3:$O$17,MATCH($A4,Setup!$H$3:$H$17,0)),"")</f>
        <v>Medium</v>
      </c>
    </row>
    <row r="5" spans="1:14">
      <c r="A5"/>
      <c r="B5" t="str">
        <f>IFERROR(INDEX(Setup!$I$3:$I$17,MATCH($A5,Setup!$H$3:$H$17,0)),"")</f>
        <v/>
      </c>
      <c r="C5" t="str">
        <f>IFERROR(INDEX(Setup!$J$3:$J$17,MATCH($A5,Setup!$H$3:$H$17,0)),"")</f>
        <v/>
      </c>
      <c r="D5" s="9" t="str">
        <f>IFERROR(INDEX(Setup!$K$3:$K$17,MATCH($A5,Setup!$H$3:$H$17,0)),"")</f>
        <v/>
      </c>
      <c r="E5" s="9" t="str">
        <f>IFERROR(INDEX(Setup!$L$3:$L$17,MATCH($A5,Setup!$H$3:$H$17,0)),"")</f>
        <v/>
      </c>
      <c r="F5" t="str">
        <f>IFERROR(INDEX(Setup!$M$3:$M$17,MATCH($A5,Setup!$H$3:$H$17,0)),"")</f>
        <v/>
      </c>
      <c r="G5"/>
      <c r="H5"/>
      <c r="I5"/>
      <c r="J5"/>
      <c r="K5"/>
      <c r="L5"/>
      <c r="M5"/>
      <c r="N5"/>
    </row>
    <row r="6" spans="1:14">
      <c r="A6"/>
      <c r="B6" t="str">
        <f>IFERROR(INDEX(Setup!$I$3:$I$17,MATCH($A6,Setup!$H$3:$H$17,0)),"")</f>
        <v/>
      </c>
      <c r="C6" t="str">
        <f>IFERROR(INDEX(Setup!$J$3:$J$17,MATCH($A6,Setup!$H$3:$H$17,0)),"")</f>
        <v/>
      </c>
      <c r="D6" s="9" t="str">
        <f>IFERROR(INDEX(Setup!$K$3:$K$17,MATCH($A6,Setup!$H$3:$H$17,0)),"")</f>
        <v/>
      </c>
      <c r="E6" s="9" t="str">
        <f>IFERROR(INDEX(Setup!$L$3:$L$17,MATCH($A6,Setup!$H$3:$H$17,0)),"")</f>
        <v/>
      </c>
      <c r="F6" t="str">
        <f>IFERROR(INDEX(Setup!$M$3:$M$17,MATCH($A6,Setup!$H$3:$H$17,0)),"")</f>
        <v/>
      </c>
      <c r="G6"/>
      <c r="H6"/>
      <c r="I6"/>
      <c r="J6"/>
      <c r="K6"/>
      <c r="L6"/>
      <c r="M6"/>
      <c r="N6"/>
    </row>
    <row r="7" spans="1:14">
      <c r="A7"/>
      <c r="B7" t="str">
        <f>IFERROR(INDEX(Setup!$I$3:$I$17,MATCH($A7,Setup!$H$3:$H$17,0)),"")</f>
        <v/>
      </c>
      <c r="C7" t="str">
        <f>IFERROR(INDEX(Setup!$J$3:$J$17,MATCH($A7,Setup!$H$3:$H$17,0)),"")</f>
        <v/>
      </c>
      <c r="D7" s="9" t="str">
        <f>IFERROR(INDEX(Setup!$K$3:$K$17,MATCH($A7,Setup!$H$3:$H$17,0)),"")</f>
        <v/>
      </c>
      <c r="E7" s="9" t="str">
        <f>IFERROR(INDEX(Setup!$L$3:$L$17,MATCH($A7,Setup!$H$3:$H$17,0)),"")</f>
        <v/>
      </c>
      <c r="F7" t="str">
        <f>IFERROR(INDEX(Setup!$M$3:$M$17,MATCH($A7,Setup!$H$3:$H$17,0)),"")</f>
        <v/>
      </c>
      <c r="G7"/>
      <c r="H7"/>
      <c r="I7"/>
      <c r="J7"/>
      <c r="K7"/>
      <c r="L7"/>
      <c r="M7"/>
      <c r="N7"/>
    </row>
    <row r="8" spans="1:14">
      <c r="A8"/>
      <c r="B8" t="str">
        <f>IFERROR(INDEX(Setup!$I$3:$I$17,MATCH($A8,Setup!$H$3:$H$17,0)),"")</f>
        <v/>
      </c>
      <c r="C8" t="str">
        <f>IFERROR(INDEX(Setup!$J$3:$J$17,MATCH($A8,Setup!$H$3:$H$17,0)),"")</f>
        <v/>
      </c>
      <c r="D8" s="9" t="str">
        <f>IFERROR(INDEX(Setup!$K$3:$K$17,MATCH($A8,Setup!$H$3:$H$17,0)),"")</f>
        <v/>
      </c>
      <c r="E8" s="9" t="str">
        <f>IFERROR(INDEX(Setup!$L$3:$L$17,MATCH($A8,Setup!$H$3:$H$17,0)),"")</f>
        <v/>
      </c>
      <c r="F8" t="str">
        <f>IFERROR(INDEX(Setup!$M$3:$M$17,MATCH($A8,Setup!$H$3:$H$17,0)),"")</f>
        <v/>
      </c>
      <c r="G8"/>
      <c r="H8"/>
      <c r="I8"/>
      <c r="J8"/>
      <c r="K8"/>
      <c r="L8"/>
      <c r="M8"/>
      <c r="N8"/>
    </row>
    <row r="9" spans="1:14">
      <c r="A9"/>
      <c r="B9" t="str">
        <f>IFERROR(INDEX(Setup!$I$3:$I$17,MATCH($A9,Setup!$H$3:$H$17,0)),"")</f>
        <v/>
      </c>
      <c r="C9" t="str">
        <f>IFERROR(INDEX(Setup!$J$3:$J$17,MATCH($A9,Setup!$H$3:$H$17,0)),"")</f>
        <v/>
      </c>
      <c r="D9" s="9" t="str">
        <f>IFERROR(INDEX(Setup!$K$3:$K$17,MATCH($A9,Setup!$H$3:$H$17,0)),"")</f>
        <v/>
      </c>
      <c r="E9" s="9" t="str">
        <f>IFERROR(INDEX(Setup!$L$3:$L$17,MATCH($A9,Setup!$H$3:$H$17,0)),"")</f>
        <v/>
      </c>
      <c r="F9" t="str">
        <f>IFERROR(INDEX(Setup!$M$3:$M$17,MATCH($A9,Setup!$H$3:$H$17,0)),"")</f>
        <v/>
      </c>
      <c r="G9"/>
      <c r="H9"/>
      <c r="I9"/>
      <c r="J9"/>
      <c r="K9"/>
      <c r="L9"/>
      <c r="M9"/>
      <c r="N9"/>
    </row>
    <row r="10" spans="1:14">
      <c r="A10"/>
      <c r="B10" t="str">
        <f>IFERROR(INDEX(Setup!$I$3:$I$17,MATCH($A10,Setup!$H$3:$H$17,0)),"")</f>
        <v/>
      </c>
      <c r="C10" t="str">
        <f>IFERROR(INDEX(Setup!$J$3:$J$17,MATCH($A10,Setup!$H$3:$H$17,0)),"")</f>
        <v/>
      </c>
      <c r="D10" s="9" t="str">
        <f>IFERROR(INDEX(Setup!$K$3:$K$17,MATCH($A10,Setup!$H$3:$H$17,0)),"")</f>
        <v/>
      </c>
      <c r="E10" s="9" t="str">
        <f>IFERROR(INDEX(Setup!$L$3:$L$17,MATCH($A10,Setup!$H$3:$H$17,0)),"")</f>
        <v/>
      </c>
      <c r="F10" t="str">
        <f>IFERROR(INDEX(Setup!$M$3:$M$17,MATCH($A10,Setup!$H$3:$H$17,0)),"")</f>
        <v/>
      </c>
      <c r="G10"/>
      <c r="H10"/>
      <c r="I10"/>
      <c r="J10"/>
      <c r="K10"/>
      <c r="L10"/>
      <c r="M10"/>
      <c r="N10"/>
    </row>
    <row r="11" spans="1:14">
      <c r="A11"/>
      <c r="B11" t="str">
        <f>IFERROR(INDEX(Setup!$I$3:$I$17,MATCH($A11,Setup!$H$3:$H$17,0)),"")</f>
        <v/>
      </c>
      <c r="C11" t="str">
        <f>IFERROR(INDEX(Setup!$J$3:$J$17,MATCH($A11,Setup!$H$3:$H$17,0)),"")</f>
        <v/>
      </c>
      <c r="D11" s="9" t="str">
        <f>IFERROR(INDEX(Setup!$K$3:$K$17,MATCH($A11,Setup!$H$3:$H$17,0)),"")</f>
        <v/>
      </c>
      <c r="E11" s="9" t="str">
        <f>IFERROR(INDEX(Setup!$L$3:$L$17,MATCH($A11,Setup!$H$3:$H$17,0)),"")</f>
        <v/>
      </c>
      <c r="F11" t="str">
        <f>IFERROR(INDEX(Setup!$M$3:$M$17,MATCH($A11,Setup!$H$3:$H$17,0)),"")</f>
        <v/>
      </c>
      <c r="G11"/>
      <c r="H11"/>
      <c r="I11"/>
      <c r="J11"/>
      <c r="K11"/>
      <c r="L11"/>
      <c r="M11"/>
      <c r="N11"/>
    </row>
    <row r="12" spans="1:14">
      <c r="A12"/>
      <c r="B12" t="str">
        <f>IFERROR(INDEX(Setup!$I$3:$I$17,MATCH($A12,Setup!$H$3:$H$17,0)),"")</f>
        <v/>
      </c>
      <c r="C12" t="str">
        <f>IFERROR(INDEX(Setup!$J$3:$J$17,MATCH($A12,Setup!$H$3:$H$17,0)),"")</f>
        <v/>
      </c>
      <c r="D12" s="9" t="str">
        <f>IFERROR(INDEX(Setup!$K$3:$K$17,MATCH($A12,Setup!$H$3:$H$17,0)),"")</f>
        <v/>
      </c>
      <c r="E12" s="9" t="str">
        <f>IFERROR(INDEX(Setup!$L$3:$L$17,MATCH($A12,Setup!$H$3:$H$17,0)),"")</f>
        <v/>
      </c>
      <c r="F12" t="str">
        <f>IFERROR(INDEX(Setup!$M$3:$M$17,MATCH($A12,Setup!$H$3:$H$17,0)),"")</f>
        <v/>
      </c>
      <c r="G12"/>
      <c r="H12"/>
      <c r="I12"/>
      <c r="J12"/>
      <c r="K12"/>
      <c r="L12"/>
      <c r="M12"/>
      <c r="N12"/>
    </row>
    <row r="13" spans="1:14">
      <c r="B13" t="str">
        <f>IFERROR(INDEX(Setup!$I$3:$I$17,MATCH($A13,Setup!$H$3:$H$17,0)),"")</f>
        <v/>
      </c>
      <c r="C13" t="str">
        <f>IFERROR(INDEX(Setup!$J$3:$J$17,MATCH($A13,Setup!$H$3:$H$17,0)),"")</f>
        <v/>
      </c>
      <c r="D13" s="9" t="str">
        <f>IFERROR(INDEX(Setup!$K$3:$K$17,MATCH($A13,Setup!$H$3:$H$17,0)),"")</f>
        <v/>
      </c>
      <c r="E13" s="9" t="str">
        <f>IFERROR(INDEX(Setup!$L$3:$L$17,MATCH($A13,Setup!$H$3:$H$17,0)),"")</f>
        <v/>
      </c>
      <c r="F13" t="str">
        <f>IFERROR(INDEX(Setup!$M$3:$M$17,MATCH($A13,Setup!$H$3:$H$17,0)),"")</f>
        <v/>
      </c>
      <c r="G13"/>
      <c r="N13"/>
    </row>
    <row r="14" spans="1:14">
      <c r="B14" t="str">
        <f>IFERROR(INDEX(Setup!$I$3:$I$17,MATCH($A14,Setup!$H$3:$H$17,0)),"")</f>
        <v/>
      </c>
      <c r="C14" t="str">
        <f>IFERROR(INDEX(Setup!$J$3:$J$17,MATCH($A14,Setup!$H$3:$H$17,0)),"")</f>
        <v/>
      </c>
      <c r="D14" s="9" t="str">
        <f>IFERROR(INDEX(Setup!$K$3:$K$17,MATCH($A14,Setup!$H$3:$H$17,0)),"")</f>
        <v/>
      </c>
      <c r="E14" s="9" t="str">
        <f>IFERROR(INDEX(Setup!$L$3:$L$17,MATCH($A14,Setup!$H$3:$H$17,0)),"")</f>
        <v/>
      </c>
      <c r="F14" t="str">
        <f>IFERROR(INDEX(Setup!$M$3:$M$17,MATCH($A14,Setup!$H$3:$H$17,0)),"")</f>
        <v/>
      </c>
      <c r="G14"/>
      <c r="N14"/>
    </row>
    <row r="15" spans="1:14">
      <c r="B15" t="str">
        <f>IFERROR(INDEX(Setup!$I$3:$I$17,MATCH($A15,Setup!$H$3:$H$17,0)),"")</f>
        <v/>
      </c>
      <c r="C15" t="str">
        <f>IFERROR(INDEX(Setup!$J$3:$J$17,MATCH($A15,Setup!$H$3:$H$17,0)),"")</f>
        <v/>
      </c>
      <c r="D15" s="9" t="str">
        <f>IFERROR(INDEX(Setup!$K$3:$K$17,MATCH($A15,Setup!$H$3:$H$17,0)),"")</f>
        <v/>
      </c>
      <c r="E15" s="9" t="str">
        <f>IFERROR(INDEX(Setup!$L$3:$L$17,MATCH($A15,Setup!$H$3:$H$17,0)),"")</f>
        <v/>
      </c>
      <c r="F15" t="str">
        <f>IFERROR(INDEX(Setup!$M$3:$M$17,MATCH($A15,Setup!$H$3:$H$17,0)),"")</f>
        <v/>
      </c>
      <c r="G15"/>
      <c r="N15"/>
    </row>
    <row r="16" spans="1:14">
      <c r="B16" t="str">
        <f>IFERROR(INDEX(Setup!$I$3:$I$17,MATCH($A16,Setup!$H$3:$H$17,0)),"")</f>
        <v/>
      </c>
      <c r="C16" t="str">
        <f>IFERROR(INDEX(Setup!$J$3:$J$17,MATCH($A16,Setup!$H$3:$H$17,0)),"")</f>
        <v/>
      </c>
      <c r="D16" s="9" t="str">
        <f>IFERROR(INDEX(Setup!$K$3:$K$17,MATCH($A16,Setup!$H$3:$H$17,0)),"")</f>
        <v/>
      </c>
      <c r="E16" s="9" t="str">
        <f>IFERROR(INDEX(Setup!$L$3:$L$17,MATCH($A16,Setup!$H$3:$H$17,0)),"")</f>
        <v/>
      </c>
      <c r="F16" t="str">
        <f>IFERROR(INDEX(Setup!$M$3:$M$17,MATCH($A16,Setup!$H$3:$H$17,0)),"")</f>
        <v/>
      </c>
      <c r="G16"/>
      <c r="N16"/>
    </row>
    <row r="17" spans="2:14">
      <c r="B17" t="str">
        <f>IFERROR(INDEX(Setup!$I$3:$I$17,MATCH($A17,Setup!$H$3:$H$17,0)),"")</f>
        <v/>
      </c>
      <c r="C17" t="str">
        <f>IFERROR(INDEX(Setup!$J$3:$J$17,MATCH($A17,Setup!$H$3:$H$17,0)),"")</f>
        <v/>
      </c>
      <c r="D17" s="9" t="str">
        <f>IFERROR(INDEX(Setup!$K$3:$K$17,MATCH($A17,Setup!$H$3:$H$17,0)),"")</f>
        <v/>
      </c>
      <c r="E17" s="9" t="str">
        <f>IFERROR(INDEX(Setup!$L$3:$L$17,MATCH($A17,Setup!$H$3:$H$17,0)),"")</f>
        <v/>
      </c>
      <c r="F17" t="str">
        <f>IFERROR(INDEX(Setup!$M$3:$M$17,MATCH($A17,Setup!$H$3:$H$17,0)),"")</f>
        <v/>
      </c>
      <c r="G17"/>
      <c r="N17"/>
    </row>
  </sheetData>
  <mergeCells count="1">
    <mergeCell ref="A1:N1"/>
  </mergeCells>
  <conditionalFormatting sqref="I3:L17">
    <cfRule type="expression" dxfId="33" priority="1">
      <formula>I3="Concept"</formula>
    </cfRule>
    <cfRule type="expression" dxfId="32" priority="2">
      <formula>I3="SD"</formula>
    </cfRule>
    <cfRule type="expression" dxfId="31" priority="3">
      <formula>I3="DD"</formula>
    </cfRule>
    <cfRule type="expression" dxfId="30" priority="4">
      <formula>I3="DED"</formula>
    </cfRule>
    <cfRule type="expression" dxfId="29" priority="5">
      <formula>I3="Tender"</formula>
    </cfRule>
    <cfRule type="expression" dxfId="28" priority="6">
      <formula>I3="Construction"</formula>
    </cfRule>
    <cfRule type="expression" dxfId="27" priority="7">
      <formula>I3="Handover"</formula>
    </cfRule>
    <cfRule type="expression" dxfId="26" priority="8">
      <formula>I3="-"</formula>
    </cfRule>
  </conditionalFormatting>
  <conditionalFormatting sqref="G3:G17">
    <cfRule type="expression" dxfId="25" priority="9">
      <formula>G3="On Hold"</formula>
    </cfRule>
  </conditionalFormatting>
  <conditionalFormatting sqref="N3:N17">
    <cfRule type="expression" dxfId="24" priority="10">
      <formula>N3="Small"</formula>
    </cfRule>
    <cfRule type="expression" dxfId="23" priority="11">
      <formula>N3="Medium"</formula>
    </cfRule>
    <cfRule type="expression" dxfId="22" priority="12">
      <formula>N3="Big"</formula>
    </cfRule>
  </conditionalFormatting>
  <dataValidations count="4">
    <dataValidation type="list" sqref="I3:L17" xr:uid="{00000000-0002-0000-0100-000000000000}">
      <formula1>DV_Phase</formula1>
    </dataValidation>
    <dataValidation type="list" allowBlank="1" sqref="A3:A200" xr:uid="{00000000-0002-0000-0100-000001000000}">
      <formula1>DV_ProjectID</formula1>
    </dataValidation>
    <dataValidation type="list" allowBlank="1" sqref="G3:G200" xr:uid="{00000000-0002-0000-0100-000002000000}">
      <formula1>DV_ProjectStatus</formula1>
    </dataValidation>
    <dataValidation type="list" allowBlank="1" sqref="H3:H200" xr:uid="{00000000-0002-0000-0100-000003000000}">
      <formula1>DV_Staff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9E7C8-5705-4EDB-A319-15936D8B3799}">
  <sheetPr codeName="Sheet7"/>
  <dimension ref="A1:J15"/>
  <sheetViews>
    <sheetView workbookViewId="0">
      <selection activeCell="K2" sqref="K2"/>
    </sheetView>
  </sheetViews>
  <sheetFormatPr defaultRowHeight="14"/>
  <cols>
    <col min="1" max="1" width="9.75" bestFit="1" customWidth="1"/>
    <col min="2" max="2" width="7.1640625" bestFit="1" customWidth="1"/>
    <col min="3" max="3" width="9.08203125" bestFit="1" customWidth="1"/>
    <col min="4" max="4" width="20.5" bestFit="1" customWidth="1"/>
    <col min="5" max="5" width="28.58203125" bestFit="1" customWidth="1"/>
    <col min="6" max="6" width="13" bestFit="1" customWidth="1"/>
    <col min="7" max="7" width="25.6640625" bestFit="1" customWidth="1"/>
    <col min="8" max="8" width="7.1640625" bestFit="1" customWidth="1"/>
    <col min="9" max="9" width="5.25" bestFit="1" customWidth="1"/>
    <col min="10" max="10" width="10.6640625" bestFit="1" customWidth="1"/>
    <col min="11" max="11" width="26.1640625" bestFit="1" customWidth="1"/>
  </cols>
  <sheetData>
    <row r="1" spans="1:10">
      <c r="A1" s="13" t="s">
        <v>182</v>
      </c>
      <c r="B1" s="13" t="s">
        <v>271</v>
      </c>
      <c r="C1" s="13" t="s">
        <v>24</v>
      </c>
      <c r="D1" s="13" t="s">
        <v>25</v>
      </c>
      <c r="E1" s="13" t="s">
        <v>272</v>
      </c>
      <c r="F1" s="13" t="s">
        <v>42</v>
      </c>
      <c r="G1" s="13" t="s">
        <v>177</v>
      </c>
      <c r="H1" s="13" t="s">
        <v>43</v>
      </c>
      <c r="I1" s="13" t="s">
        <v>273</v>
      </c>
      <c r="J1" s="13" t="s">
        <v>41</v>
      </c>
    </row>
    <row r="2" spans="1:10">
      <c r="A2" s="44">
        <v>46267</v>
      </c>
      <c r="B2" t="s">
        <v>275</v>
      </c>
      <c r="C2" t="s">
        <v>50</v>
      </c>
      <c r="D2" t="s">
        <v>51</v>
      </c>
      <c r="E2" t="s">
        <v>264</v>
      </c>
      <c r="F2" t="s">
        <v>78</v>
      </c>
      <c r="G2" t="s">
        <v>98</v>
      </c>
      <c r="H2" t="s">
        <v>71</v>
      </c>
    </row>
    <row r="3" spans="1:10">
      <c r="A3" s="44">
        <v>46268</v>
      </c>
      <c r="B3" t="s">
        <v>275</v>
      </c>
      <c r="C3" t="s">
        <v>50</v>
      </c>
      <c r="D3" t="s">
        <v>51</v>
      </c>
      <c r="E3" t="s">
        <v>265</v>
      </c>
      <c r="F3" t="s">
        <v>78</v>
      </c>
      <c r="G3" t="s">
        <v>98</v>
      </c>
      <c r="H3" t="s">
        <v>71</v>
      </c>
    </row>
    <row r="4" spans="1:10">
      <c r="A4" s="44">
        <v>46268</v>
      </c>
      <c r="B4" t="s">
        <v>275</v>
      </c>
      <c r="C4" t="s">
        <v>50</v>
      </c>
      <c r="D4" t="s">
        <v>51</v>
      </c>
      <c r="E4" t="s">
        <v>280</v>
      </c>
      <c r="F4" t="s">
        <v>78</v>
      </c>
      <c r="G4" t="s">
        <v>98</v>
      </c>
      <c r="H4" t="s">
        <v>71</v>
      </c>
    </row>
    <row r="5" spans="1:10">
      <c r="A5" s="44">
        <v>46268</v>
      </c>
      <c r="B5" t="s">
        <v>275</v>
      </c>
      <c r="C5" t="s">
        <v>69</v>
      </c>
      <c r="D5" t="s">
        <v>70</v>
      </c>
      <c r="E5" t="s">
        <v>281</v>
      </c>
      <c r="F5" t="s">
        <v>78</v>
      </c>
      <c r="G5" t="s">
        <v>98</v>
      </c>
      <c r="H5" t="s">
        <v>93</v>
      </c>
    </row>
    <row r="6" spans="1:10">
      <c r="A6" s="44">
        <v>46268</v>
      </c>
      <c r="B6" t="s">
        <v>275</v>
      </c>
      <c r="C6" t="s">
        <v>50</v>
      </c>
      <c r="D6" t="s">
        <v>51</v>
      </c>
      <c r="E6" t="s">
        <v>282</v>
      </c>
      <c r="F6" t="s">
        <v>78</v>
      </c>
      <c r="G6" t="s">
        <v>98</v>
      </c>
      <c r="H6" t="s">
        <v>71</v>
      </c>
    </row>
    <row r="7" spans="1:10">
      <c r="A7" s="44">
        <v>46269</v>
      </c>
      <c r="B7" t="s">
        <v>275</v>
      </c>
      <c r="C7" t="s">
        <v>69</v>
      </c>
      <c r="D7" t="s">
        <v>70</v>
      </c>
      <c r="E7" t="s">
        <v>274</v>
      </c>
      <c r="F7" t="s">
        <v>61</v>
      </c>
      <c r="G7" t="s">
        <v>98</v>
      </c>
      <c r="H7" t="s">
        <v>71</v>
      </c>
    </row>
    <row r="8" spans="1:10">
      <c r="A8" s="44">
        <v>46269</v>
      </c>
      <c r="B8" t="s">
        <v>275</v>
      </c>
      <c r="C8" t="s">
        <v>69</v>
      </c>
      <c r="D8" t="s">
        <v>70</v>
      </c>
      <c r="E8" t="s">
        <v>285</v>
      </c>
      <c r="F8" t="s">
        <v>61</v>
      </c>
      <c r="G8" t="s">
        <v>98</v>
      </c>
      <c r="H8" t="s">
        <v>71</v>
      </c>
    </row>
    <row r="9" spans="1:10">
      <c r="A9" s="44">
        <v>46275</v>
      </c>
      <c r="B9" t="s">
        <v>275</v>
      </c>
      <c r="C9" t="s">
        <v>69</v>
      </c>
      <c r="D9" t="s">
        <v>70</v>
      </c>
      <c r="E9" t="s">
        <v>284</v>
      </c>
      <c r="F9" t="s">
        <v>61</v>
      </c>
      <c r="G9" t="s">
        <v>118</v>
      </c>
      <c r="H9" t="s">
        <v>62</v>
      </c>
    </row>
    <row r="10" spans="1:10">
      <c r="A10" s="44">
        <v>46278</v>
      </c>
      <c r="B10" t="s">
        <v>275</v>
      </c>
      <c r="C10" t="s">
        <v>50</v>
      </c>
      <c r="D10" t="s">
        <v>51</v>
      </c>
      <c r="E10" t="s">
        <v>283</v>
      </c>
      <c r="F10" t="s">
        <v>124</v>
      </c>
      <c r="G10" t="s">
        <v>67</v>
      </c>
      <c r="H10" t="s">
        <v>93</v>
      </c>
    </row>
    <row r="11" spans="1:10">
      <c r="A11" s="44">
        <v>46269</v>
      </c>
      <c r="B11" t="s">
        <v>275</v>
      </c>
      <c r="C11" t="s">
        <v>69</v>
      </c>
      <c r="D11" t="s">
        <v>70</v>
      </c>
      <c r="E11" t="s">
        <v>286</v>
      </c>
      <c r="F11" t="s">
        <v>78</v>
      </c>
      <c r="G11" t="s">
        <v>98</v>
      </c>
      <c r="H11" t="s">
        <v>71</v>
      </c>
    </row>
    <row r="12" spans="1:10">
      <c r="A12" s="44">
        <v>46268</v>
      </c>
      <c r="B12" t="s">
        <v>261</v>
      </c>
      <c r="C12" t="s">
        <v>69</v>
      </c>
      <c r="D12" t="s">
        <v>70</v>
      </c>
      <c r="E12" t="s">
        <v>76</v>
      </c>
      <c r="F12" t="s">
        <v>261</v>
      </c>
      <c r="G12" t="s">
        <v>278</v>
      </c>
      <c r="I12" s="12">
        <v>0.58333333333333337</v>
      </c>
      <c r="J12" t="s">
        <v>91</v>
      </c>
    </row>
    <row r="13" spans="1:10">
      <c r="A13" s="44">
        <v>46268</v>
      </c>
      <c r="B13" t="s">
        <v>261</v>
      </c>
      <c r="C13" t="s">
        <v>50</v>
      </c>
      <c r="D13" t="s">
        <v>51</v>
      </c>
      <c r="E13" t="s">
        <v>76</v>
      </c>
      <c r="F13" t="s">
        <v>261</v>
      </c>
      <c r="G13" t="s">
        <v>287</v>
      </c>
      <c r="I13" s="12">
        <v>0.41666666666666669</v>
      </c>
      <c r="J13" t="s">
        <v>77</v>
      </c>
    </row>
    <row r="14" spans="1:10">
      <c r="A14" s="44">
        <v>46269</v>
      </c>
      <c r="B14" t="s">
        <v>261</v>
      </c>
      <c r="C14" t="s">
        <v>69</v>
      </c>
      <c r="D14" t="s">
        <v>70</v>
      </c>
      <c r="E14" t="s">
        <v>59</v>
      </c>
      <c r="F14" t="s">
        <v>261</v>
      </c>
      <c r="G14" t="s">
        <v>279</v>
      </c>
      <c r="I14" s="12">
        <v>0.375</v>
      </c>
      <c r="J14" t="s">
        <v>60</v>
      </c>
    </row>
    <row r="15" spans="1:10">
      <c r="A15" s="44">
        <v>46268</v>
      </c>
      <c r="B15" t="s">
        <v>261</v>
      </c>
      <c r="C15" t="s">
        <v>69</v>
      </c>
      <c r="D15" t="s">
        <v>70</v>
      </c>
      <c r="E15" t="s">
        <v>123</v>
      </c>
      <c r="F15" t="s">
        <v>261</v>
      </c>
      <c r="G15" t="s">
        <v>278</v>
      </c>
      <c r="I15" s="12">
        <v>0.375</v>
      </c>
      <c r="J15" t="s">
        <v>91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J22"/>
  <sheetViews>
    <sheetView workbookViewId="0">
      <pane ySplit="2" topLeftCell="A3" activePane="bottomLeft" state="frozen"/>
      <selection pane="bottomLeft" activeCell="A7" sqref="A7"/>
    </sheetView>
  </sheetViews>
  <sheetFormatPr defaultRowHeight="14"/>
  <cols>
    <col min="1" max="1" width="18" style="18" customWidth="1"/>
    <col min="2" max="2" width="12" style="18" customWidth="1"/>
    <col min="3" max="3" width="15" style="18" customWidth="1"/>
    <col min="4" max="4" width="12" style="18" customWidth="1"/>
    <col min="5" max="7" width="15" style="18" customWidth="1"/>
    <col min="8" max="8" width="12" style="18" customWidth="1"/>
    <col min="9" max="9" width="15" style="18" customWidth="1"/>
    <col min="10" max="10" width="18" style="18" customWidth="1"/>
  </cols>
  <sheetData>
    <row r="1" spans="1:10" ht="23" customHeight="1">
      <c r="A1" s="86" t="s">
        <v>219</v>
      </c>
      <c r="B1" s="67"/>
      <c r="C1" s="67"/>
      <c r="D1" s="67"/>
      <c r="E1" s="67"/>
      <c r="F1" s="67"/>
      <c r="G1" s="67"/>
      <c r="H1" s="67"/>
      <c r="I1" s="67"/>
      <c r="J1" s="67"/>
    </row>
    <row r="2" spans="1:10" ht="14.5" customHeight="1">
      <c r="A2" s="2" t="s">
        <v>220</v>
      </c>
      <c r="B2" s="2" t="s">
        <v>220</v>
      </c>
      <c r="C2" s="2" t="s">
        <v>220</v>
      </c>
      <c r="D2" s="2" t="s">
        <v>220</v>
      </c>
      <c r="E2" s="2" t="s">
        <v>220</v>
      </c>
      <c r="F2" s="2" t="s">
        <v>220</v>
      </c>
      <c r="G2" s="2" t="s">
        <v>220</v>
      </c>
      <c r="H2" s="2" t="s">
        <v>220</v>
      </c>
      <c r="I2" s="2" t="s">
        <v>220</v>
      </c>
      <c r="J2" s="2" t="s">
        <v>220</v>
      </c>
    </row>
    <row r="4" spans="1:10">
      <c r="A4" s="66" t="s">
        <v>221</v>
      </c>
      <c r="B4" s="67"/>
      <c r="C4" s="67"/>
      <c r="D4" s="67"/>
      <c r="E4" s="67"/>
      <c r="F4" s="67"/>
      <c r="G4" s="67"/>
      <c r="H4" s="67"/>
      <c r="I4" s="67"/>
    </row>
    <row r="5" spans="1:10">
      <c r="A5" s="1" t="s">
        <v>166</v>
      </c>
      <c r="B5" s="1" t="s">
        <v>222</v>
      </c>
      <c r="C5" s="1" t="s">
        <v>223</v>
      </c>
      <c r="D5" s="1" t="s">
        <v>224</v>
      </c>
      <c r="E5" s="1" t="s">
        <v>225</v>
      </c>
      <c r="F5" s="1" t="s">
        <v>226</v>
      </c>
      <c r="G5" s="1" t="s">
        <v>227</v>
      </c>
      <c r="H5" s="1" t="s">
        <v>228</v>
      </c>
      <c r="I5" s="1" t="s">
        <v>229</v>
      </c>
    </row>
    <row r="6" spans="1:10">
      <c r="A6">
        <f>'Staff Allocation'!M3</f>
        <v>0.13333333333333333</v>
      </c>
      <c r="B6" s="10">
        <f>'Staff Allocation'!R3</f>
        <v>0</v>
      </c>
      <c r="C6">
        <f>'Staff Allocation'!S3</f>
        <v>0</v>
      </c>
      <c r="D6" s="10">
        <f>'Staff Allocation'!U3</f>
        <v>0</v>
      </c>
      <c r="E6">
        <f>'Staff Allocation'!V3</f>
        <v>0</v>
      </c>
      <c r="F6" s="10">
        <f>'Staff Allocation'!X3</f>
        <v>0</v>
      </c>
      <c r="G6">
        <f>'Staff Allocation'!Y3</f>
        <v>0</v>
      </c>
      <c r="H6" s="10">
        <f>'Staff Allocation'!AA3</f>
        <v>0</v>
      </c>
      <c r="I6">
        <f>'Staff Allocation'!AB3</f>
        <v>0</v>
      </c>
    </row>
    <row r="7" spans="1:10">
      <c r="A7">
        <f>'Staff Allocation'!M4</f>
        <v>0.13333333333333333</v>
      </c>
      <c r="B7" s="10">
        <f>'Staff Allocation'!R4</f>
        <v>0</v>
      </c>
      <c r="C7">
        <f>'Staff Allocation'!S4</f>
        <v>0</v>
      </c>
      <c r="D7" s="10">
        <f>'Staff Allocation'!U4</f>
        <v>0</v>
      </c>
      <c r="E7">
        <f>'Staff Allocation'!V4</f>
        <v>0</v>
      </c>
      <c r="F7" s="10">
        <f>'Staff Allocation'!X4</f>
        <v>0</v>
      </c>
      <c r="G7">
        <f>'Staff Allocation'!Y4</f>
        <v>0</v>
      </c>
      <c r="H7" s="10">
        <f>'Staff Allocation'!AA4</f>
        <v>0</v>
      </c>
      <c r="I7">
        <f>'Staff Allocation'!AB4</f>
        <v>0</v>
      </c>
    </row>
    <row r="8" spans="1:10">
      <c r="A8">
        <f>'Staff Allocation'!M5</f>
        <v>0.13333333333333333</v>
      </c>
      <c r="B8" s="10">
        <f>'Staff Allocation'!R5</f>
        <v>0</v>
      </c>
      <c r="C8">
        <f>'Staff Allocation'!S5</f>
        <v>0</v>
      </c>
      <c r="D8" s="10">
        <f>'Staff Allocation'!U5</f>
        <v>0</v>
      </c>
      <c r="E8">
        <f>'Staff Allocation'!V5</f>
        <v>0</v>
      </c>
      <c r="F8" s="10">
        <f>'Staff Allocation'!X5</f>
        <v>0</v>
      </c>
      <c r="G8">
        <f>'Staff Allocation'!Y5</f>
        <v>0</v>
      </c>
      <c r="H8" s="10">
        <f>'Staff Allocation'!AA5</f>
        <v>0</v>
      </c>
      <c r="I8">
        <f>'Staff Allocation'!AB5</f>
        <v>0</v>
      </c>
    </row>
    <row r="9" spans="1:10">
      <c r="A9">
        <f>'Staff Allocation'!M6</f>
        <v>0.3</v>
      </c>
      <c r="B9" s="10">
        <f>'Staff Allocation'!R6</f>
        <v>0</v>
      </c>
      <c r="C9">
        <f>'Staff Allocation'!S6</f>
        <v>0</v>
      </c>
      <c r="D9" s="10">
        <f>'Staff Allocation'!U6</f>
        <v>0</v>
      </c>
      <c r="E9">
        <f>'Staff Allocation'!V6</f>
        <v>0</v>
      </c>
      <c r="F9" s="10">
        <f>'Staff Allocation'!X6</f>
        <v>0</v>
      </c>
      <c r="G9">
        <f>'Staff Allocation'!Y6</f>
        <v>0</v>
      </c>
      <c r="H9" s="10">
        <f>'Staff Allocation'!AA6</f>
        <v>0</v>
      </c>
      <c r="I9">
        <f>'Staff Allocation'!AB6</f>
        <v>0</v>
      </c>
    </row>
    <row r="10" spans="1:10">
      <c r="A10">
        <f>'Staff Allocation'!M7</f>
        <v>0.3</v>
      </c>
      <c r="B10" s="10">
        <f>'Staff Allocation'!R7</f>
        <v>0</v>
      </c>
      <c r="C10">
        <f>'Staff Allocation'!S7</f>
        <v>0</v>
      </c>
      <c r="D10" s="10">
        <f>'Staff Allocation'!U7</f>
        <v>0</v>
      </c>
      <c r="E10">
        <f>'Staff Allocation'!V7</f>
        <v>0</v>
      </c>
      <c r="F10" s="10">
        <f>'Staff Allocation'!X7</f>
        <v>0</v>
      </c>
      <c r="G10">
        <f>'Staff Allocation'!Y7</f>
        <v>0</v>
      </c>
      <c r="H10" s="10">
        <f>'Staff Allocation'!AA7</f>
        <v>0</v>
      </c>
      <c r="I10">
        <f>'Staff Allocation'!AB7</f>
        <v>0</v>
      </c>
    </row>
    <row r="11" spans="1:10">
      <c r="A11">
        <f>'Staff Allocation'!M8</f>
        <v>0</v>
      </c>
      <c r="B11" s="10">
        <f>'Staff Allocation'!R8</f>
        <v>0</v>
      </c>
      <c r="C11">
        <f>'Staff Allocation'!S8</f>
        <v>0</v>
      </c>
      <c r="D11" s="10">
        <f>'Staff Allocation'!U8</f>
        <v>0</v>
      </c>
      <c r="E11">
        <f>'Staff Allocation'!V8</f>
        <v>0</v>
      </c>
      <c r="F11" s="10">
        <f>'Staff Allocation'!X8</f>
        <v>0</v>
      </c>
      <c r="G11">
        <f>'Staff Allocation'!Y8</f>
        <v>0</v>
      </c>
      <c r="H11" s="10">
        <f>'Staff Allocation'!AA8</f>
        <v>0</v>
      </c>
      <c r="I11">
        <f>'Staff Allocation'!AB8</f>
        <v>0</v>
      </c>
    </row>
    <row r="12" spans="1:10">
      <c r="A12">
        <f>'Staff Allocation'!M9</f>
        <v>0</v>
      </c>
      <c r="B12" s="10">
        <f>'Staff Allocation'!R9</f>
        <v>0</v>
      </c>
      <c r="C12">
        <f>'Staff Allocation'!S9</f>
        <v>0</v>
      </c>
      <c r="D12" s="10">
        <f>'Staff Allocation'!U9</f>
        <v>0</v>
      </c>
      <c r="E12">
        <f>'Staff Allocation'!V9</f>
        <v>0</v>
      </c>
      <c r="F12" s="10">
        <f>'Staff Allocation'!X9</f>
        <v>0</v>
      </c>
      <c r="G12">
        <f>'Staff Allocation'!Y9</f>
        <v>0</v>
      </c>
      <c r="H12" s="10">
        <f>'Staff Allocation'!AA9</f>
        <v>0</v>
      </c>
      <c r="I12">
        <f>'Staff Allocation'!AB9</f>
        <v>0</v>
      </c>
    </row>
    <row r="13" spans="1:10">
      <c r="A13">
        <f>'Staff Allocation'!M10</f>
        <v>0</v>
      </c>
      <c r="B13" s="10">
        <f>'Staff Allocation'!R10</f>
        <v>0</v>
      </c>
      <c r="C13">
        <f>'Staff Allocation'!S10</f>
        <v>0</v>
      </c>
      <c r="D13" s="10">
        <f>'Staff Allocation'!U10</f>
        <v>0</v>
      </c>
      <c r="E13">
        <f>'Staff Allocation'!V10</f>
        <v>0</v>
      </c>
      <c r="F13" s="10">
        <f>'Staff Allocation'!X10</f>
        <v>0</v>
      </c>
      <c r="G13">
        <f>'Staff Allocation'!Y10</f>
        <v>0</v>
      </c>
      <c r="H13" s="10">
        <f>'Staff Allocation'!AA10</f>
        <v>0</v>
      </c>
      <c r="I13">
        <f>'Staff Allocation'!AB10</f>
        <v>0</v>
      </c>
    </row>
    <row r="16" spans="1:10">
      <c r="A16" s="66" t="s">
        <v>230</v>
      </c>
      <c r="B16" s="67"/>
      <c r="C16" s="67"/>
      <c r="D16" s="67"/>
      <c r="F16" s="66" t="s">
        <v>231</v>
      </c>
      <c r="G16" s="67"/>
      <c r="H16" s="67"/>
      <c r="I16" s="67"/>
      <c r="J16" s="67"/>
    </row>
    <row r="17" spans="1:10">
      <c r="A17" s="1" t="s">
        <v>46</v>
      </c>
      <c r="B17" s="1" t="s">
        <v>232</v>
      </c>
      <c r="C17" s="1" t="s">
        <v>233</v>
      </c>
      <c r="D17" s="1" t="s">
        <v>234</v>
      </c>
      <c r="F17" s="87" t="s">
        <v>235</v>
      </c>
      <c r="G17" s="67"/>
      <c r="H17" s="67"/>
      <c r="I17" s="67"/>
      <c r="J17" s="67"/>
    </row>
    <row r="18" spans="1:10">
      <c r="A18" t="str">
        <f>"Sep 2026"</f>
        <v>Sep 2026</v>
      </c>
      <c r="B18">
        <f>COUNTIFS('Meeting Activity'!$A$3:$A$62,"&gt;="&amp;DATE(2026,9,1),'Meeting Activity'!$A$3:$A$62,"&lt;"&amp;DATE(2026,10,1))</f>
        <v>4</v>
      </c>
      <c r="C18">
        <f>COUNTIFS('Work Activity'!$C$3:$C$89,"&gt;="&amp;DATE(2026,9,1),'Work Activity'!$C$3:$C$89,"&lt;"&amp;DATE(2026,10,1))</f>
        <v>10</v>
      </c>
      <c r="D18">
        <f>COUNTIFS('Meeting Activity'!$A$3:$A$62,"&gt;="&amp;DATE(2026,9,1),'Meeting Activity'!$A$3:$A$62,"&lt;"&amp;DATE(2026,10,1),'Meeting Activity'!$L$3:$L$62,"&lt;&gt;CLEAR")</f>
        <v>2</v>
      </c>
      <c r="F18" s="67"/>
      <c r="G18" s="67"/>
      <c r="H18" s="67"/>
      <c r="I18" s="67"/>
      <c r="J18" s="67"/>
    </row>
    <row r="19" spans="1:10">
      <c r="A19" t="str">
        <f>"Oct 2026"</f>
        <v>Oct 2026</v>
      </c>
      <c r="B19">
        <f>COUNTIFS('Meeting Activity'!$A$3:$A$62,"&gt;="&amp;DATE(2026,10,1),'Meeting Activity'!$A$3:$A$62,"&lt;"&amp;DATE(2026,11,1))</f>
        <v>0</v>
      </c>
      <c r="C19">
        <f>COUNTIFS('Work Activity'!$C$3:$C$89,"&gt;="&amp;DATE(2026,10,1),'Work Activity'!$C$3:$C$89,"&lt;"&amp;DATE(2026,11,1))</f>
        <v>0</v>
      </c>
      <c r="D19">
        <f>COUNTIFS('Meeting Activity'!$A$3:$A$62,"&gt;="&amp;DATE(2026,10,1),'Meeting Activity'!$A$3:$A$62,"&lt;"&amp;DATE(2026,11,1),'Meeting Activity'!$L$3:$L$62,"&lt;&gt;CLEAR")</f>
        <v>0</v>
      </c>
      <c r="F19" s="67"/>
      <c r="G19" s="67"/>
      <c r="H19" s="67"/>
      <c r="I19" s="67"/>
      <c r="J19" s="67"/>
    </row>
    <row r="20" spans="1:10">
      <c r="A20" t="str">
        <f>"Nov 2026"</f>
        <v>Nov 2026</v>
      </c>
      <c r="B20">
        <f>COUNTIFS('Meeting Activity'!$A$3:$A$62,"&gt;="&amp;DATE(2026,11,1),'Meeting Activity'!$A$3:$A$62,"&lt;"&amp;DATE(2026,12,1))</f>
        <v>0</v>
      </c>
      <c r="C20">
        <f>COUNTIFS('Work Activity'!$C$3:$C$89,"&gt;="&amp;DATE(2026,11,1),'Work Activity'!$C$3:$C$89,"&lt;"&amp;DATE(2026,12,1))</f>
        <v>0</v>
      </c>
      <c r="D20">
        <f>COUNTIFS('Meeting Activity'!$A$3:$A$62,"&gt;="&amp;DATE(2026,11,1),'Meeting Activity'!$A$3:$A$62,"&lt;"&amp;DATE(2026,12,1),'Meeting Activity'!$L$3:$L$62,"&lt;&gt;CLEAR")</f>
        <v>0</v>
      </c>
      <c r="F20" s="67"/>
      <c r="G20" s="67"/>
      <c r="H20" s="67"/>
      <c r="I20" s="67"/>
      <c r="J20" s="67"/>
    </row>
    <row r="21" spans="1:10">
      <c r="A21" t="str">
        <f>"Dec 2026"</f>
        <v>Dec 2026</v>
      </c>
      <c r="B21">
        <f>COUNTIFS('Meeting Activity'!$A$3:$A$62,"&gt;="&amp;DATE(2026,12,1),'Meeting Activity'!$A$3:$A$62,"&lt;"&amp;DATE(2027,1,1))</f>
        <v>0</v>
      </c>
      <c r="C21">
        <f>COUNTIFS('Work Activity'!$C$3:$C$89,"&gt;="&amp;DATE(2026,12,1),'Work Activity'!$C$3:$C$89,"&lt;"&amp;DATE(2027,1,1))</f>
        <v>0</v>
      </c>
      <c r="D21">
        <f>COUNTIFS('Meeting Activity'!$A$3:$A$62,"&gt;="&amp;DATE(2026,12,1),'Meeting Activity'!$A$3:$A$62,"&lt;"&amp;DATE(2027,1,1),'Meeting Activity'!$L$3:$L$62,"&lt;&gt;CLEAR")</f>
        <v>0</v>
      </c>
      <c r="F21" s="67"/>
      <c r="G21" s="67"/>
      <c r="H21" s="67"/>
      <c r="I21" s="67"/>
      <c r="J21" s="67"/>
    </row>
    <row r="22" spans="1:10">
      <c r="F22" s="67"/>
      <c r="G22" s="67"/>
      <c r="H22" s="67"/>
      <c r="I22" s="67"/>
      <c r="J22" s="67"/>
    </row>
  </sheetData>
  <mergeCells count="5">
    <mergeCell ref="A1:J1"/>
    <mergeCell ref="F16:J16"/>
    <mergeCell ref="A16:D16"/>
    <mergeCell ref="A4:I4"/>
    <mergeCell ref="F17:J22"/>
  </mergeCells>
  <conditionalFormatting sqref="C6:C13">
    <cfRule type="expression" dxfId="21" priority="1">
      <formula>C6="AVAILABLE"</formula>
    </cfRule>
    <cfRule type="expression" dxfId="20" priority="2">
      <formula>C6="NORMAL"</formula>
    </cfRule>
    <cfRule type="expression" dxfId="19" priority="3">
      <formula>C6="FULL"</formula>
    </cfRule>
    <cfRule type="expression" dxfId="18" priority="4">
      <formula>C6="OVERLOAD"</formula>
    </cfRule>
  </conditionalFormatting>
  <conditionalFormatting sqref="E6:E13">
    <cfRule type="expression" dxfId="17" priority="5">
      <formula>E6="AVAILABLE"</formula>
    </cfRule>
    <cfRule type="expression" dxfId="16" priority="6">
      <formula>E6="NORMAL"</formula>
    </cfRule>
    <cfRule type="expression" dxfId="15" priority="7">
      <formula>E6="FULL"</formula>
    </cfRule>
    <cfRule type="expression" dxfId="14" priority="8">
      <formula>E6="OVERLOAD"</formula>
    </cfRule>
  </conditionalFormatting>
  <conditionalFormatting sqref="G6:G13">
    <cfRule type="expression" dxfId="13" priority="9">
      <formula>G6="AVAILABLE"</formula>
    </cfRule>
    <cfRule type="expression" dxfId="12" priority="10">
      <formula>G6="NORMAL"</formula>
    </cfRule>
    <cfRule type="expression" dxfId="11" priority="11">
      <formula>G6="FULL"</formula>
    </cfRule>
    <cfRule type="expression" dxfId="10" priority="12">
      <formula>G6="OVERLOAD"</formula>
    </cfRule>
  </conditionalFormatting>
  <conditionalFormatting sqref="I6:I13">
    <cfRule type="expression" dxfId="9" priority="13">
      <formula>I6="AVAILABLE"</formula>
    </cfRule>
    <cfRule type="expression" dxfId="8" priority="14">
      <formula>I6="NORMAL"</formula>
    </cfRule>
    <cfRule type="expression" dxfId="7" priority="15">
      <formula>I6="FULL"</formula>
    </cfRule>
    <cfRule type="expression" dxfId="6" priority="16">
      <formula>I6="OVERLOAD"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1BA6E-D021-4BE0-B8C2-D9915AE62B6F}">
  <sheetPr codeName="Sheet9"/>
  <dimension ref="A1:H17"/>
  <sheetViews>
    <sheetView workbookViewId="0">
      <selection activeCell="A2" sqref="A2"/>
    </sheetView>
  </sheetViews>
  <sheetFormatPr defaultRowHeight="14"/>
  <cols>
    <col min="1" max="1" width="5.75" bestFit="1" customWidth="1"/>
    <col min="2" max="2" width="5" bestFit="1" customWidth="1"/>
    <col min="3" max="3" width="7.1640625" bestFit="1" customWidth="1"/>
    <col min="4" max="4" width="8.75" bestFit="1" customWidth="1"/>
    <col min="5" max="5" width="28.58203125" bestFit="1" customWidth="1"/>
    <col min="6" max="6" width="5.1640625" bestFit="1" customWidth="1"/>
    <col min="7" max="7" width="4.83203125" bestFit="1" customWidth="1"/>
    <col min="8" max="8" width="7.6640625" bestFit="1" customWidth="1"/>
  </cols>
  <sheetData>
    <row r="1" spans="1:8">
      <c r="A1" t="s">
        <v>182</v>
      </c>
      <c r="B1" t="s">
        <v>271</v>
      </c>
      <c r="C1" t="s">
        <v>43</v>
      </c>
      <c r="D1" t="s">
        <v>24</v>
      </c>
      <c r="E1" t="s">
        <v>272</v>
      </c>
      <c r="F1" t="s">
        <v>177</v>
      </c>
      <c r="G1" t="s">
        <v>273</v>
      </c>
      <c r="H1" t="s">
        <v>41</v>
      </c>
    </row>
    <row r="2" spans="1:8">
      <c r="A2">
        <f>IFERROR(INDEX('Work Activity'!$C$3:$C$89,_xlfn.AGGREGATE(15,6,(ROW('Work Activity'!$C$3:$C$89)-ROW('Work Activity'!$C$3)+1)/('Work Activity'!$C$3:$C$89&lt;&gt;""),ROWS($A$2:A2))),"")</f>
        <v>46266</v>
      </c>
      <c r="B2" t="str">
        <f t="shared" ref="B2:B8" si="0">IF(A2&lt;&gt;"","Work","")</f>
        <v>Work</v>
      </c>
      <c r="C2" t="str">
        <f>IFERROR(INDEX('Work Activity'!$G$3:$G$89,MATCH(A2,'Work Activity'!$C$3:$C$89,0)),"")</f>
        <v>Medium</v>
      </c>
      <c r="D2" t="str">
        <f>IFERROR(INDEX('Work Activity'!$A$3:$A$89,MATCH(A2,'Work Activity'!$C$3:$C$89,0)),"")</f>
        <v>P01</v>
      </c>
      <c r="E2" t="str">
        <f>IFERROR(INDEX('Work Activity'!$F$3:$F$89,MATCH(A2,'Work Activity'!$C$3:$C$89,0)),"")</f>
        <v>Gambar Rencana Detil Arsitektural</v>
      </c>
      <c r="F2" t="str">
        <f>IFERROR(INDEX('Work Activity'!$H$3:$H$89,MATCH(A2,'Work Activity'!$C$3:$C$89,0)),"")</f>
        <v>Ikram</v>
      </c>
    </row>
    <row r="3" spans="1:8">
      <c r="A3">
        <f>IFERROR(INDEX('Work Activity'!$C$3:$C$89,_xlfn.AGGREGATE(15,6,(ROW('Work Activity'!$C$3:$C$89)-ROW('Work Activity'!$C$3)+1)/('Work Activity'!$C$3:$C$89&lt;&gt;""),ROWS($A$2:A3))),"")</f>
        <v>46266</v>
      </c>
      <c r="B3" t="str">
        <f t="shared" si="0"/>
        <v>Work</v>
      </c>
      <c r="C3" t="str">
        <f>IFERROR(INDEX('Work Activity'!$G$3:$G$89,MATCH(A3,'Work Activity'!$C$3:$C$89,0)),"")</f>
        <v>Medium</v>
      </c>
      <c r="D3" t="str">
        <f>IFERROR(INDEX('Work Activity'!$A$3:$A$89,MATCH(A3,'Work Activity'!$C$3:$C$89,0)),"")</f>
        <v>P01</v>
      </c>
      <c r="E3" t="str">
        <f>IFERROR(INDEX('Work Activity'!$F$3:$F$89,MATCH(A3,'Work Activity'!$C$3:$C$89,0)),"")</f>
        <v>Gambar Rencana Detil Arsitektural</v>
      </c>
      <c r="F3" t="str">
        <f>IFERROR(INDEX('Work Activity'!$H$3:$H$89,MATCH(A3,'Work Activity'!$C$3:$C$89,0)),"")</f>
        <v>Ikram</v>
      </c>
    </row>
    <row r="4" spans="1:8">
      <c r="A4">
        <f>IFERROR(INDEX('Work Activity'!$C$3:$C$89,_xlfn.AGGREGATE(15,6,(ROW('Work Activity'!$C$3:$C$89)-ROW('Work Activity'!$C$3)+1)/('Work Activity'!$C$3:$C$89&lt;&gt;""),ROWS($A$2:A4))),"")</f>
        <v>46266</v>
      </c>
      <c r="B4" t="str">
        <f t="shared" si="0"/>
        <v>Work</v>
      </c>
      <c r="C4" t="str">
        <f>IFERROR(INDEX('Work Activity'!$G$3:$G$89,MATCH(A4,'Work Activity'!$C$3:$C$89,0)),"")</f>
        <v>Medium</v>
      </c>
      <c r="D4" t="str">
        <f>IFERROR(INDEX('Work Activity'!$A$3:$A$89,MATCH(A4,'Work Activity'!$C$3:$C$89,0)),"")</f>
        <v>P01</v>
      </c>
      <c r="E4" t="str">
        <f>IFERROR(INDEX('Work Activity'!$F$3:$F$89,MATCH(A4,'Work Activity'!$C$3:$C$89,0)),"")</f>
        <v>Gambar Rencana Detil Arsitektural</v>
      </c>
      <c r="F4" t="str">
        <f>IFERROR(INDEX('Work Activity'!$H$3:$H$89,MATCH(A4,'Work Activity'!$C$3:$C$89,0)),"")</f>
        <v>Ikram</v>
      </c>
    </row>
    <row r="5" spans="1:8">
      <c r="A5">
        <f>IFERROR(INDEX('Work Activity'!$C$3:$C$89,_xlfn.AGGREGATE(15,6,(ROW('Work Activity'!$C$3:$C$89)-ROW('Work Activity'!$C$3)+1)/('Work Activity'!$C$3:$C$89&lt;&gt;""),ROWS($A$2:A5))),"")</f>
        <v>46266</v>
      </c>
      <c r="B5" t="str">
        <f t="shared" si="0"/>
        <v>Work</v>
      </c>
      <c r="C5" t="str">
        <f>IFERROR(INDEX('Work Activity'!$G$3:$G$89,MATCH(A5,'Work Activity'!$C$3:$C$89,0)),"")</f>
        <v>Medium</v>
      </c>
      <c r="D5" t="str">
        <f>IFERROR(INDEX('Work Activity'!$A$3:$A$89,MATCH(A5,'Work Activity'!$C$3:$C$89,0)),"")</f>
        <v>P01</v>
      </c>
      <c r="E5" t="str">
        <f>IFERROR(INDEX('Work Activity'!$F$3:$F$89,MATCH(A5,'Work Activity'!$C$3:$C$89,0)),"")</f>
        <v>Gambar Rencana Detil Arsitektural</v>
      </c>
      <c r="F5" t="str">
        <f>IFERROR(INDEX('Work Activity'!$H$3:$H$89,MATCH(A5,'Work Activity'!$C$3:$C$89,0)),"")</f>
        <v>Ikram</v>
      </c>
    </row>
    <row r="6" spans="1:8">
      <c r="A6">
        <f>IFERROR(INDEX('Work Activity'!$C$3:$C$89,_xlfn.AGGREGATE(15,6,(ROW('Work Activity'!$C$3:$C$89)-ROW('Work Activity'!$C$3)+1)/('Work Activity'!$C$3:$C$89&lt;&gt;""),ROWS($A$2:A6))),"")</f>
        <v>46266</v>
      </c>
      <c r="B6" t="str">
        <f t="shared" si="0"/>
        <v>Work</v>
      </c>
      <c r="C6" t="str">
        <f>IFERROR(INDEX('Work Activity'!$G$3:$G$89,MATCH(A6,'Work Activity'!$C$3:$C$89,0)),"")</f>
        <v>Medium</v>
      </c>
      <c r="D6" t="str">
        <f>IFERROR(INDEX('Work Activity'!$A$3:$A$89,MATCH(A6,'Work Activity'!$C$3:$C$89,0)),"")</f>
        <v>P01</v>
      </c>
      <c r="E6" t="str">
        <f>IFERROR(INDEX('Work Activity'!$F$3:$F$89,MATCH(A6,'Work Activity'!$C$3:$C$89,0)),"")</f>
        <v>Gambar Rencana Detil Arsitektural</v>
      </c>
      <c r="F6" t="str">
        <f>IFERROR(INDEX('Work Activity'!$H$3:$H$89,MATCH(A6,'Work Activity'!$C$3:$C$89,0)),"")</f>
        <v>Ikram</v>
      </c>
    </row>
    <row r="7" spans="1:8">
      <c r="A7">
        <f>IFERROR(INDEX('Work Activity'!$C$3:$C$89,_xlfn.AGGREGATE(15,6,(ROW('Work Activity'!$C$3:$C$89)-ROW('Work Activity'!$C$3)+1)/('Work Activity'!$C$3:$C$89&lt;&gt;""),ROWS($A$2:A7))),"")</f>
        <v>46269</v>
      </c>
      <c r="B7" t="str">
        <f t="shared" si="0"/>
        <v>Work</v>
      </c>
      <c r="C7" t="str">
        <f>IFERROR(INDEX('Work Activity'!$G$3:$G$89,MATCH(A7,'Work Activity'!$C$3:$C$89,0)),"")</f>
        <v>Medium</v>
      </c>
      <c r="D7" t="str">
        <f>IFERROR(INDEX('Work Activity'!$A$3:$A$89,MATCH(A7,'Work Activity'!$C$3:$C$89,0)),"")</f>
        <v>P02</v>
      </c>
      <c r="E7" t="str">
        <f>IFERROR(INDEX('Work Activity'!$F$3:$F$89,MATCH(A7,'Work Activity'!$C$3:$C$89,0)),"")</f>
        <v>Gambar heru</v>
      </c>
      <c r="F7" t="str">
        <f>IFERROR(INDEX('Work Activity'!$H$3:$H$89,MATCH(A7,'Work Activity'!$C$3:$C$89,0)),"")</f>
        <v>Ikram</v>
      </c>
    </row>
    <row r="8" spans="1:8">
      <c r="A8">
        <f>IFERROR(INDEX('Work Activity'!$C$3:$C$89,_xlfn.AGGREGATE(15,6,(ROW('Work Activity'!$C$3:$C$89)-ROW('Work Activity'!$C$3)+1)/('Work Activity'!$C$3:$C$89&lt;&gt;""),ROWS($A$2:A8))),"")</f>
        <v>46269</v>
      </c>
      <c r="B8" t="str">
        <f t="shared" si="0"/>
        <v>Work</v>
      </c>
      <c r="C8" t="str">
        <f>IFERROR(INDEX('Work Activity'!$G$3:$G$89,MATCH(A8,'Work Activity'!$C$3:$C$89,0)),"")</f>
        <v>Medium</v>
      </c>
      <c r="D8" t="str">
        <f>IFERROR(INDEX('Work Activity'!$A$3:$A$89,MATCH(A8,'Work Activity'!$C$3:$C$89,0)),"")</f>
        <v>P02</v>
      </c>
      <c r="E8" t="str">
        <f>IFERROR(INDEX('Work Activity'!$F$3:$F$89,MATCH(A8,'Work Activity'!$C$3:$C$89,0)),"")</f>
        <v>Gambar heru</v>
      </c>
      <c r="F8" t="str">
        <f>IFERROR(INDEX('Work Activity'!$H$3:$H$89,MATCH(A8,'Work Activity'!$C$3:$C$89,0)),"")</f>
        <v>Ikram</v>
      </c>
    </row>
    <row r="9" spans="1:8">
      <c r="A9" s="44"/>
    </row>
    <row r="10" spans="1:8">
      <c r="A10" s="44"/>
    </row>
    <row r="11" spans="1:8">
      <c r="A11" s="44"/>
    </row>
    <row r="12" spans="1:8">
      <c r="A12" s="44"/>
    </row>
    <row r="13" spans="1:8">
      <c r="A13" s="44"/>
    </row>
    <row r="14" spans="1:8">
      <c r="A14" s="44"/>
      <c r="G14" s="12"/>
    </row>
    <row r="15" spans="1:8">
      <c r="A15" s="44"/>
      <c r="G15" s="12"/>
    </row>
    <row r="16" spans="1:8">
      <c r="A16" s="44"/>
      <c r="G16" s="12"/>
    </row>
    <row r="17" spans="1:7">
      <c r="A17" s="44"/>
      <c r="G17" s="1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L40"/>
  <sheetViews>
    <sheetView workbookViewId="0">
      <pane ySplit="2" topLeftCell="A3" activePane="bottomLeft" state="frozen"/>
      <selection pane="bottomLeft" activeCell="E40" sqref="E40"/>
    </sheetView>
  </sheetViews>
  <sheetFormatPr defaultRowHeight="14"/>
  <cols>
    <col min="1" max="11" width="18" style="18" customWidth="1"/>
  </cols>
  <sheetData>
    <row r="1" spans="1:12" ht="20" customHeight="1">
      <c r="A1" s="88" t="s">
        <v>236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3" spans="1:12">
      <c r="A3" s="15" t="s">
        <v>203</v>
      </c>
      <c r="B3" s="15" t="s">
        <v>194</v>
      </c>
      <c r="D3" s="15" t="s">
        <v>237</v>
      </c>
      <c r="E3" s="15" t="s">
        <v>238</v>
      </c>
      <c r="G3" s="15" t="s">
        <v>239</v>
      </c>
      <c r="H3" s="34">
        <v>46266</v>
      </c>
      <c r="J3" s="15" t="s">
        <v>240</v>
      </c>
      <c r="K3" s="34">
        <v>46387</v>
      </c>
    </row>
    <row r="6" spans="1:12">
      <c r="A6" s="14" t="s">
        <v>241</v>
      </c>
      <c r="B6" s="14" t="s">
        <v>177</v>
      </c>
      <c r="C6" s="14" t="s">
        <v>39</v>
      </c>
      <c r="D6" s="14" t="s">
        <v>156</v>
      </c>
      <c r="E6" s="14" t="s">
        <v>157</v>
      </c>
      <c r="F6" s="14" t="s">
        <v>158</v>
      </c>
      <c r="G6" s="14" t="s">
        <v>159</v>
      </c>
    </row>
    <row r="7" spans="1:12">
      <c r="A7" t="s">
        <v>242</v>
      </c>
      <c r="B7" t="s">
        <v>83</v>
      </c>
      <c r="C7" t="s">
        <v>97</v>
      </c>
      <c r="D7" s="16" t="s">
        <v>243</v>
      </c>
    </row>
    <row r="8" spans="1:12">
      <c r="A8" t="s">
        <v>244</v>
      </c>
      <c r="B8" t="s">
        <v>98</v>
      </c>
      <c r="C8" t="s">
        <v>109</v>
      </c>
      <c r="D8" s="16" t="s">
        <v>243</v>
      </c>
    </row>
    <row r="9" spans="1:12">
      <c r="A9" t="s">
        <v>245</v>
      </c>
      <c r="B9" t="s">
        <v>110</v>
      </c>
      <c r="C9" t="s">
        <v>97</v>
      </c>
      <c r="D9" s="16" t="s">
        <v>243</v>
      </c>
    </row>
    <row r="10" spans="1:12">
      <c r="A10" t="s">
        <v>246</v>
      </c>
      <c r="B10" t="s">
        <v>98</v>
      </c>
      <c r="C10" t="s">
        <v>109</v>
      </c>
      <c r="E10" s="16" t="s">
        <v>243</v>
      </c>
    </row>
    <row r="11" spans="1:12">
      <c r="A11" t="s">
        <v>247</v>
      </c>
      <c r="B11" t="s">
        <v>110</v>
      </c>
      <c r="C11" t="s">
        <v>97</v>
      </c>
      <c r="E11" s="16" t="s">
        <v>243</v>
      </c>
    </row>
    <row r="12" spans="1:12">
      <c r="A12" t="s">
        <v>248</v>
      </c>
      <c r="B12" t="s">
        <v>83</v>
      </c>
      <c r="C12" t="s">
        <v>82</v>
      </c>
      <c r="E12" s="16" t="s">
        <v>243</v>
      </c>
    </row>
    <row r="13" spans="1:12">
      <c r="A13" t="s">
        <v>249</v>
      </c>
      <c r="B13" t="s">
        <v>110</v>
      </c>
      <c r="C13" t="s">
        <v>109</v>
      </c>
      <c r="F13" s="16" t="s">
        <v>243</v>
      </c>
    </row>
    <row r="14" spans="1:12">
      <c r="A14" t="s">
        <v>250</v>
      </c>
      <c r="B14" t="s">
        <v>67</v>
      </c>
      <c r="C14" t="s">
        <v>97</v>
      </c>
      <c r="F14" s="16" t="s">
        <v>243</v>
      </c>
    </row>
    <row r="15" spans="1:12">
      <c r="A15" t="s">
        <v>251</v>
      </c>
      <c r="B15" t="s">
        <v>110</v>
      </c>
      <c r="C15" t="s">
        <v>109</v>
      </c>
      <c r="F15" s="16" t="s">
        <v>243</v>
      </c>
    </row>
    <row r="16" spans="1:12">
      <c r="A16" t="s">
        <v>252</v>
      </c>
      <c r="B16" t="s">
        <v>98</v>
      </c>
      <c r="C16" t="s">
        <v>97</v>
      </c>
      <c r="F16" s="16" t="s">
        <v>243</v>
      </c>
    </row>
    <row r="17" spans="1:7">
      <c r="A17" t="s">
        <v>253</v>
      </c>
      <c r="B17" t="s">
        <v>110</v>
      </c>
      <c r="C17" t="s">
        <v>66</v>
      </c>
      <c r="G17" s="16" t="s">
        <v>243</v>
      </c>
    </row>
    <row r="18" spans="1:7">
      <c r="A18" t="s">
        <v>254</v>
      </c>
      <c r="B18" t="s">
        <v>98</v>
      </c>
      <c r="C18" t="s">
        <v>82</v>
      </c>
      <c r="G18" s="16" t="s">
        <v>243</v>
      </c>
    </row>
    <row r="19" spans="1:7">
      <c r="A19" t="s">
        <v>255</v>
      </c>
      <c r="B19" t="s">
        <v>83</v>
      </c>
      <c r="C19" t="s">
        <v>97</v>
      </c>
      <c r="G19" s="16" t="s">
        <v>243</v>
      </c>
    </row>
    <row r="20" spans="1:7">
      <c r="A20" t="s">
        <v>256</v>
      </c>
      <c r="B20" t="s">
        <v>118</v>
      </c>
      <c r="C20" t="s">
        <v>97</v>
      </c>
      <c r="G20" s="16" t="s">
        <v>243</v>
      </c>
    </row>
    <row r="21" spans="1:7">
      <c r="A21" t="s">
        <v>257</v>
      </c>
      <c r="B21" t="s">
        <v>98</v>
      </c>
      <c r="C21" t="s">
        <v>66</v>
      </c>
      <c r="G21" s="16" t="s">
        <v>243</v>
      </c>
    </row>
    <row r="22" spans="1:7">
      <c r="A22" t="s">
        <v>258</v>
      </c>
      <c r="B22" t="s">
        <v>83</v>
      </c>
      <c r="C22" t="s">
        <v>66</v>
      </c>
      <c r="G22" s="16" t="s">
        <v>243</v>
      </c>
    </row>
    <row r="25" spans="1:7">
      <c r="A25" s="13" t="s">
        <v>259</v>
      </c>
    </row>
    <row r="26" spans="1:7">
      <c r="A26" s="17" t="s">
        <v>260</v>
      </c>
      <c r="B26" s="17" t="s">
        <v>261</v>
      </c>
      <c r="C26" s="17" t="s">
        <v>182</v>
      </c>
      <c r="D26" s="17" t="s">
        <v>177</v>
      </c>
    </row>
    <row r="27" spans="1:7">
      <c r="A27" t="s">
        <v>50</v>
      </c>
      <c r="B27" t="s">
        <v>76</v>
      </c>
      <c r="C27" s="35">
        <v>46266</v>
      </c>
      <c r="D27" t="s">
        <v>47</v>
      </c>
    </row>
    <row r="28" spans="1:7">
      <c r="A28" t="s">
        <v>69</v>
      </c>
      <c r="B28" t="s">
        <v>76</v>
      </c>
      <c r="C28" s="35">
        <v>46274</v>
      </c>
      <c r="D28" t="s">
        <v>83</v>
      </c>
    </row>
    <row r="29" spans="1:7">
      <c r="A29" t="s">
        <v>56</v>
      </c>
      <c r="B29" t="s">
        <v>90</v>
      </c>
      <c r="C29" s="35">
        <v>46274</v>
      </c>
      <c r="D29" t="s">
        <v>47</v>
      </c>
    </row>
    <row r="30" spans="1:7">
      <c r="A30" t="s">
        <v>163</v>
      </c>
      <c r="B30" t="s">
        <v>123</v>
      </c>
      <c r="C30" s="35">
        <v>46280</v>
      </c>
      <c r="D30" t="s">
        <v>83</v>
      </c>
    </row>
    <row r="31" spans="1:7">
      <c r="A31" t="s">
        <v>72</v>
      </c>
      <c r="B31" t="s">
        <v>76</v>
      </c>
      <c r="C31" s="35">
        <v>46303</v>
      </c>
      <c r="D31" t="s">
        <v>98</v>
      </c>
    </row>
    <row r="32" spans="1:7">
      <c r="A32" t="s">
        <v>85</v>
      </c>
      <c r="B32" t="s">
        <v>76</v>
      </c>
      <c r="C32" s="35">
        <v>46310</v>
      </c>
      <c r="D32" t="s">
        <v>47</v>
      </c>
    </row>
    <row r="33" spans="1:4">
      <c r="A33" t="s">
        <v>163</v>
      </c>
      <c r="B33" t="s">
        <v>104</v>
      </c>
      <c r="C33" s="35">
        <v>46310</v>
      </c>
      <c r="D33" t="s">
        <v>83</v>
      </c>
    </row>
    <row r="34" spans="1:4">
      <c r="A34" t="s">
        <v>50</v>
      </c>
      <c r="B34" t="s">
        <v>123</v>
      </c>
      <c r="C34" s="35">
        <v>46338</v>
      </c>
      <c r="D34" t="s">
        <v>47</v>
      </c>
    </row>
    <row r="35" spans="1:4">
      <c r="A35" t="s">
        <v>100</v>
      </c>
      <c r="B35" t="s">
        <v>76</v>
      </c>
      <c r="C35" s="35">
        <v>46338</v>
      </c>
      <c r="D35" t="s">
        <v>67</v>
      </c>
    </row>
    <row r="36" spans="1:4">
      <c r="A36" t="s">
        <v>164</v>
      </c>
      <c r="B36" t="s">
        <v>76</v>
      </c>
      <c r="C36" s="35">
        <v>46343</v>
      </c>
      <c r="D36" t="s">
        <v>110</v>
      </c>
    </row>
    <row r="37" spans="1:4">
      <c r="A37" t="s">
        <v>56</v>
      </c>
      <c r="B37" t="s">
        <v>104</v>
      </c>
      <c r="C37" s="35">
        <v>46357</v>
      </c>
      <c r="D37" t="s">
        <v>47</v>
      </c>
    </row>
    <row r="38" spans="1:4">
      <c r="A38" t="s">
        <v>85</v>
      </c>
      <c r="B38" t="s">
        <v>76</v>
      </c>
      <c r="C38" s="35">
        <v>46359</v>
      </c>
      <c r="D38" t="s">
        <v>47</v>
      </c>
    </row>
    <row r="39" spans="1:4">
      <c r="A39" t="s">
        <v>50</v>
      </c>
      <c r="B39" t="s">
        <v>76</v>
      </c>
      <c r="C39" s="35">
        <v>46366</v>
      </c>
      <c r="D39" t="s">
        <v>47</v>
      </c>
    </row>
    <row r="40" spans="1:4">
      <c r="A40" t="s">
        <v>163</v>
      </c>
      <c r="B40" t="s">
        <v>123</v>
      </c>
      <c r="C40" s="35">
        <v>46371</v>
      </c>
      <c r="D40" t="s">
        <v>83</v>
      </c>
    </row>
  </sheetData>
  <mergeCells count="1">
    <mergeCell ref="A1:L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Setup</vt:lpstr>
      <vt:lpstr>Staff Allocation</vt:lpstr>
      <vt:lpstr>Work Activity</vt:lpstr>
      <vt:lpstr>Meeting Activity</vt:lpstr>
      <vt:lpstr>Other Activities</vt:lpstr>
      <vt:lpstr>Dashboard_Helper</vt:lpstr>
      <vt:lpstr>Weekly Schedule Dashboard</vt:lpstr>
      <vt:lpstr>Project Schedule</vt:lpstr>
      <vt:lpstr>Dashboard_Data</vt:lpstr>
      <vt:lpstr>Studio Dashboard</vt:lpstr>
      <vt:lpstr>Daily Schedule Detail</vt:lpstr>
      <vt:lpstr>Project Gantt 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Heru Ismiraldi</cp:lastModifiedBy>
  <dcterms:created xsi:type="dcterms:W3CDTF">2026-08-31T11:58:03Z</dcterms:created>
  <dcterms:modified xsi:type="dcterms:W3CDTF">2026-09-05T04:07:32Z</dcterms:modified>
</cp:coreProperties>
</file>