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u.ismiraldi\Documents\Dsbr\"/>
    </mc:Choice>
  </mc:AlternateContent>
  <xr:revisionPtr revIDLastSave="0" documentId="8_{AA80E36B-3D04-49AE-A675-5257B332D9DB}" xr6:coauthVersionLast="47" xr6:coauthVersionMax="47" xr10:uidLastSave="{00000000-0000-0000-0000-000000000000}"/>
  <bookViews>
    <workbookView xWindow="-110" yWindow="-110" windowWidth="25820" windowHeight="15500" xr2:uid="{0225A4FF-4B62-4869-AADC-A1C54CE15244}"/>
  </bookViews>
  <sheets>
    <sheet name="Setup" sheetId="2" r:id="rId1"/>
    <sheet name="Sheet1" sheetId="1" r:id="rId2"/>
  </sheets>
  <externalReferences>
    <externalReference r:id="rId3"/>
  </externalReferences>
  <definedNames>
    <definedName name="DV_ActivityType">OFFSET(Setup!$O$3,0,0,MAX(1,COUNTIF(Setup!$O$3:$O$1000,"&lt;&gt;")),1)</definedName>
    <definedName name="DV_Freelancer">OFFSET(Setup!$AC$3,0,0,MAX(1,COUNTIF(Setup!$AC$3:$AC$1000,"&lt;&gt;")),1)</definedName>
    <definedName name="DV_MappingStatus">OFFSET(Setup!$Y$3,0,0,MAX(1,COUNTIF(Setup!$Y$3:$Y$1000,"&lt;&gt;")),1)</definedName>
    <definedName name="DV_MeetingLocation">OFFSET(Setup!$M$3,0,0,MAX(1,COUNTIF(Setup!$M$3:$M$1000,"&lt;&gt;")),1)</definedName>
    <definedName name="DV_MeetingType">OFFSET(Setup!$K$3,0,0,MAX(1,COUNTIF(Setup!$K$3:$K$1000,"&lt;&gt;")),1)</definedName>
    <definedName name="DV_Month">OFFSET(Setup!#REF!,0,0,MAX(1,COUNTIF(Setup!#REF!,"&lt;&gt;")),1)</definedName>
    <definedName name="DV_Phase">OFFSET(Setup!$E$3,0,0,MAX(1,COUNTIF(Setup!$E$3:$E$1000,"&lt;&gt;")),1)</definedName>
    <definedName name="DV_Priority">OFFSET(Setup!$Q$3,0,0,MAX(1,COUNTIF(Setup!$Q$3:$Q$1000,"&lt;&gt;")),1)</definedName>
    <definedName name="DV_ProjectFilter">OFFSET(#REF!,0,0,MAX(1,COUNTIF(#REF!,"&lt;&gt;")),1)</definedName>
    <definedName name="DV_ProjectID">OFFSET(Setup!#REF!,0,0,MAX(1,COUNTIF(Setup!#REF!,"&lt;&gt;")),1)</definedName>
    <definedName name="DV_ProjectSize">OFFSET(Setup!$S$3,0,0,MAX(1,COUNTIF(Setup!$S$3:$S$1000,"&lt;&gt;")),1)</definedName>
    <definedName name="DV_ProjectStatus">OFFSET(Setup!$I$3,0,0,MAX(1,COUNTIF(Setup!$I$3:$I$1000,"&lt;&gt;")),1)</definedName>
    <definedName name="DV_ProjectType">OFFSET(Setup!$C$3,0,0,MAX(1,COUNTIF(Setup!$C$3:$C$1000,"&lt;&gt;")),1)</definedName>
    <definedName name="DV_Role">OFFSET(Setup!$A$3,0,0,MAX(1,COUNTIF(Setup!$A$3:$A$1000,"&lt;&gt;")),1)</definedName>
    <definedName name="DV_Staff">OFFSET(Setup!#REF!,0,0,MAX(1,COUNTIF(Setup!#REF!,"&lt;&gt;")),1)</definedName>
    <definedName name="DV_TaskStatus">OFFSET(Setup!$AA$3,0,0,MAX(1,COUNTIF(Setup!$AA$3:$AA$1000,"&lt;&gt;")),1)</definedName>
    <definedName name="DV_WeekFilter">OFFSET(#REF!,0,0,MAX(1,COUNTIF(#REF!,"&lt;&gt;")),1)</definedName>
    <definedName name="DV_WorkloadStatus">OFFSET(Setup!$V$3,0,0,MAX(1,COUNTIF(Setup!$V$3:$V$1000,"&lt;&gt;")),1)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22" i="2" l="1"/>
  <c r="AC21" i="2"/>
  <c r="AC20" i="2"/>
  <c r="AC19" i="2"/>
  <c r="AC18" i="2"/>
  <c r="AC17" i="2"/>
  <c r="AC16" i="2"/>
  <c r="AC15" i="2"/>
  <c r="AC14" i="2"/>
  <c r="AC13" i="2"/>
  <c r="AC12" i="2"/>
  <c r="AC11" i="2"/>
  <c r="AC10" i="2"/>
  <c r="AC9" i="2"/>
  <c r="AC8" i="2"/>
  <c r="AC7" i="2"/>
  <c r="AC6" i="2"/>
  <c r="AC5" i="2"/>
  <c r="AC4" i="2"/>
  <c r="AC3" i="2"/>
</calcChain>
</file>

<file path=xl/sharedStrings.xml><?xml version="1.0" encoding="utf-8"?>
<sst xmlns="http://schemas.openxmlformats.org/spreadsheetml/2006/main" count="113" uniqueCount="108">
  <si>
    <t>MEETING TYPE</t>
  </si>
  <si>
    <t>MEETING LOCATION</t>
  </si>
  <si>
    <t>ACTIVITY TYPE</t>
  </si>
  <si>
    <t>PRIORITY</t>
  </si>
  <si>
    <t>PROJECT SIZE MULTIPLIER</t>
  </si>
  <si>
    <t>WORKLOAD STATUS</t>
  </si>
  <si>
    <t>MAPPING STATUS</t>
  </si>
  <si>
    <t>TASK STATUS</t>
  </si>
  <si>
    <t>Project Type</t>
  </si>
  <si>
    <t>Project Size</t>
  </si>
  <si>
    <t>Role</t>
  </si>
  <si>
    <t>Phase</t>
  </si>
  <si>
    <t>Sequence</t>
  </si>
  <si>
    <t>Base Load</t>
  </si>
  <si>
    <t>Status</t>
  </si>
  <si>
    <t>Meeting Type</t>
  </si>
  <si>
    <t>Location</t>
  </si>
  <si>
    <t>Activity Type</t>
  </si>
  <si>
    <t>Priority</t>
  </si>
  <si>
    <t>Multiplier</t>
  </si>
  <si>
    <t>Max Load</t>
  </si>
  <si>
    <t>Principal Architect</t>
  </si>
  <si>
    <t>Residential</t>
  </si>
  <si>
    <t>Active</t>
  </si>
  <si>
    <t>Big</t>
  </si>
  <si>
    <t>Concept</t>
  </si>
  <si>
    <t>Pipeline</t>
  </si>
  <si>
    <t>Internal Design</t>
  </si>
  <si>
    <t>Studio</t>
  </si>
  <si>
    <t>Submission</t>
  </si>
  <si>
    <t>High</t>
  </si>
  <si>
    <t>Small</t>
  </si>
  <si>
    <t>AVAILABLE</t>
  </si>
  <si>
    <t>Not Started</t>
  </si>
  <si>
    <t>Studio Manager</t>
  </si>
  <si>
    <t>Medium</t>
  </si>
  <si>
    <t>Project Director</t>
  </si>
  <si>
    <t>Office</t>
  </si>
  <si>
    <t>SD</t>
  </si>
  <si>
    <t>Client Meeting</t>
  </si>
  <si>
    <t>Online</t>
  </si>
  <si>
    <t>Internal Review</t>
  </si>
  <si>
    <t>NORMAL</t>
  </si>
  <si>
    <t>Inactive</t>
  </si>
  <si>
    <t>In Progress</t>
  </si>
  <si>
    <t>Senior Architect</t>
  </si>
  <si>
    <t>Project Lead / Senior Architect</t>
  </si>
  <si>
    <t>Hospitality</t>
  </si>
  <si>
    <t>DD</t>
  </si>
  <si>
    <t>On Hold</t>
  </si>
  <si>
    <t>Consultant Coordination</t>
  </si>
  <si>
    <t>Client Office</t>
  </si>
  <si>
    <t>Client Review</t>
  </si>
  <si>
    <t>Low</t>
  </si>
  <si>
    <t>FULL</t>
  </si>
  <si>
    <t>Ended</t>
  </si>
  <si>
    <t>Review</t>
  </si>
  <si>
    <t>Architect</t>
  </si>
  <si>
    <t>F&amp;B Interior</t>
  </si>
  <si>
    <t>DED</t>
  </si>
  <si>
    <t>Completed</t>
  </si>
  <si>
    <t>Site Meeting</t>
  </si>
  <si>
    <t>Site</t>
  </si>
  <si>
    <t>Design Freeze</t>
  </si>
  <si>
    <t>OVERLOAD</t>
  </si>
  <si>
    <t>Submitted</t>
  </si>
  <si>
    <t>Healthcare</t>
  </si>
  <si>
    <t>Tender</t>
  </si>
  <si>
    <t>Cancelled</t>
  </si>
  <si>
    <t>Vendor Meeting</t>
  </si>
  <si>
    <t>Consultant Office</t>
  </si>
  <si>
    <t>Site Visit</t>
  </si>
  <si>
    <t>Done</t>
  </si>
  <si>
    <t>Junior Architect</t>
  </si>
  <si>
    <t>Interior</t>
  </si>
  <si>
    <t>Construction</t>
  </si>
  <si>
    <t>Archived</t>
  </si>
  <si>
    <t>Design Review</t>
  </si>
  <si>
    <t>Issue Drawing</t>
  </si>
  <si>
    <t>Delayed</t>
  </si>
  <si>
    <t>Interior Designer</t>
  </si>
  <si>
    <t>Education</t>
  </si>
  <si>
    <t>Handover</t>
  </si>
  <si>
    <t>Kickoff Meeting</t>
  </si>
  <si>
    <t>Tender Deadline</t>
  </si>
  <si>
    <t>Drafter / 3D</t>
  </si>
  <si>
    <t>BIM Modeller</t>
  </si>
  <si>
    <t>Retail</t>
  </si>
  <si>
    <t>Presentation</t>
  </si>
  <si>
    <t>Commercial</t>
  </si>
  <si>
    <t>Material Approval</t>
  </si>
  <si>
    <t>3D Artist</t>
  </si>
  <si>
    <t>Mixed Use</t>
  </si>
  <si>
    <t>Shop Drawing Review</t>
  </si>
  <si>
    <t>Graphic Designer</t>
  </si>
  <si>
    <t>Healthcare Interior</t>
  </si>
  <si>
    <t>Survey</t>
  </si>
  <si>
    <t>Project Coordinator</t>
  </si>
  <si>
    <t>Coordination</t>
  </si>
  <si>
    <t>Site Architect</t>
  </si>
  <si>
    <t>QA/QC</t>
  </si>
  <si>
    <t>Structure</t>
  </si>
  <si>
    <t>MEP</t>
  </si>
  <si>
    <t>RAB</t>
  </si>
  <si>
    <t xml:space="preserve">ROLE </t>
  </si>
  <si>
    <t xml:space="preserve">PROJECT TYPE </t>
  </si>
  <si>
    <t xml:space="preserve">PHASE </t>
  </si>
  <si>
    <t xml:space="preserve">PROJECT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</si>
</sst>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\x"/>
  </numFmts>
  <fonts count="3">
    <font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475569"/>
      </patternFill>
    </fill>
    <fill>
      <patternFill patternType="solid">
        <fgColor rgb="FF2434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1" applyFont="1" applyFill="1" applyAlignment="1">
      <alignment vertical="center"/>
    </xf>
    <xf numFmtId="0" fontId="1" fillId="0" borderId="0" xfId="1"/>
    <xf numFmtId="0" fontId="1" fillId="0" borderId="0" xfId="1"/>
    <xf numFmtId="0" fontId="2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9" fontId="1" fillId="0" borderId="0" xfId="1" applyNumberFormat="1"/>
    <xf numFmtId="165" fontId="1" fillId="0" borderId="0" xfId="1" applyNumberFormat="1"/>
    <xf numFmtId="0" fontId="2" fillId="2" borderId="0" xfId="1" applyFont="1" applyFill="1" applyAlignment="1">
      <alignment vertical="center"/>
    </xf>
  </cellXfs>
  <cellStyles count="2">
    <cellStyle name="Normal" xfId="0" builtinId="0"/>
    <cellStyle name="Normal 2" xfId="1" xr:uid="{DED1C462-A759-4D33-AD7A-B2B0CCF7B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aru/Studio_Control_Board_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Staff Allocation"/>
      <sheetName val="Work Activity"/>
      <sheetName val="Meeting Activity"/>
      <sheetName val="Other Activities"/>
      <sheetName val="Dashboard_Helper"/>
      <sheetName val="Weekly Schedule Dashboard"/>
      <sheetName val="Project Schedule"/>
      <sheetName val="Dashboard_Data"/>
      <sheetName val="Studio Dashboard"/>
      <sheetName val="Daily Schedule Detail"/>
      <sheetName val="Project Gantt Dashboar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249D-0A59-46C7-8627-E54470F2DEC3}">
  <sheetPr codeName="Sheet1"/>
  <dimension ref="A1:AC22"/>
  <sheetViews>
    <sheetView tabSelected="1" workbookViewId="0">
      <pane ySplit="1" topLeftCell="A2" activePane="bottomLeft" state="frozen"/>
      <selection pane="bottomLeft"/>
    </sheetView>
  </sheetViews>
  <sheetFormatPr defaultRowHeight="14"/>
  <cols>
    <col min="1" max="1" width="30.54296875" style="3" customWidth="1"/>
    <col min="2" max="2" width="8.7265625" style="3"/>
    <col min="3" max="3" width="21.81640625" style="3" customWidth="1"/>
    <col min="4" max="4" width="8.7265625" style="3"/>
    <col min="5" max="5" width="19.6328125" style="3" customWidth="1"/>
    <col min="6" max="6" width="8.7265625" style="3"/>
    <col min="7" max="8" width="13.08984375" style="3" customWidth="1"/>
    <col min="9" max="9" width="20" style="3" bestFit="1" customWidth="1"/>
    <col min="10" max="10" width="8.7265625" style="3"/>
    <col min="11" max="11" width="27.26953125" style="3" customWidth="1"/>
    <col min="12" max="12" width="8.7265625" style="3"/>
    <col min="13" max="13" width="21.81640625" style="3" customWidth="1"/>
    <col min="14" max="14" width="8.7265625" style="3"/>
    <col min="15" max="15" width="24" style="3" customWidth="1"/>
    <col min="16" max="16" width="8.7265625" style="3"/>
    <col min="17" max="17" width="13.08984375" style="3" customWidth="1"/>
    <col min="18" max="18" width="8.7265625" style="3"/>
    <col min="19" max="19" width="16.36328125" style="3" customWidth="1"/>
    <col min="20" max="20" width="13.08984375" style="3" customWidth="1"/>
    <col min="21" max="21" width="8.7265625" style="3"/>
    <col min="22" max="22" width="17.453125" style="3" customWidth="1"/>
    <col min="23" max="23" width="13.08984375" style="3" customWidth="1"/>
    <col min="24" max="24" width="8.7265625" style="3"/>
    <col min="25" max="25" width="26.90625" style="3" customWidth="1"/>
    <col min="26" max="26" width="12.08984375" style="3" customWidth="1"/>
    <col min="27" max="27" width="17.453125" style="3" customWidth="1"/>
    <col min="28" max="29" width="3.26953125" style="3" customWidth="1"/>
    <col min="30" max="16384" width="8.7265625" style="3"/>
  </cols>
  <sheetData>
    <row r="1" spans="1:29">
      <c r="A1" s="8" t="s">
        <v>104</v>
      </c>
      <c r="C1" s="8" t="s">
        <v>105</v>
      </c>
      <c r="E1" s="1" t="s">
        <v>106</v>
      </c>
      <c r="F1" s="2"/>
      <c r="G1" s="2"/>
      <c r="I1" s="8" t="s">
        <v>107</v>
      </c>
      <c r="K1" s="8" t="s">
        <v>0</v>
      </c>
      <c r="M1" s="8" t="s">
        <v>1</v>
      </c>
      <c r="O1" s="8" t="s">
        <v>2</v>
      </c>
      <c r="Q1" s="8" t="s">
        <v>3</v>
      </c>
      <c r="S1" s="1" t="s">
        <v>4</v>
      </c>
      <c r="T1" s="2"/>
      <c r="V1" s="1" t="s">
        <v>5</v>
      </c>
      <c r="W1" s="2"/>
      <c r="Y1" s="8" t="s">
        <v>6</v>
      </c>
      <c r="AA1" s="8" t="s">
        <v>7</v>
      </c>
    </row>
    <row r="2" spans="1:29">
      <c r="A2" s="4" t="s">
        <v>10</v>
      </c>
      <c r="C2" s="4" t="s">
        <v>8</v>
      </c>
      <c r="E2" s="4" t="s">
        <v>11</v>
      </c>
      <c r="F2" s="4" t="s">
        <v>12</v>
      </c>
      <c r="G2" s="4" t="s">
        <v>13</v>
      </c>
      <c r="H2" s="5"/>
      <c r="I2" s="4" t="s">
        <v>14</v>
      </c>
      <c r="K2" s="4" t="s">
        <v>15</v>
      </c>
      <c r="M2" s="4" t="s">
        <v>16</v>
      </c>
      <c r="O2" s="4" t="s">
        <v>17</v>
      </c>
      <c r="Q2" s="4" t="s">
        <v>18</v>
      </c>
      <c r="S2" s="4" t="s">
        <v>9</v>
      </c>
      <c r="T2" s="4" t="s">
        <v>19</v>
      </c>
      <c r="V2" s="4" t="s">
        <v>14</v>
      </c>
      <c r="W2" s="4" t="s">
        <v>20</v>
      </c>
      <c r="Y2" s="4" t="s">
        <v>14</v>
      </c>
      <c r="AA2" s="4" t="s">
        <v>14</v>
      </c>
    </row>
    <row r="3" spans="1:29">
      <c r="A3" s="3" t="s">
        <v>21</v>
      </c>
      <c r="C3" s="3" t="s">
        <v>22</v>
      </c>
      <c r="E3" s="3" t="s">
        <v>25</v>
      </c>
      <c r="F3" s="3">
        <v>1</v>
      </c>
      <c r="G3" s="6">
        <v>0.15</v>
      </c>
      <c r="H3" s="6"/>
      <c r="I3" s="3" t="s">
        <v>26</v>
      </c>
      <c r="K3" s="3" t="s">
        <v>27</v>
      </c>
      <c r="M3" s="3" t="s">
        <v>28</v>
      </c>
      <c r="O3" s="3" t="s">
        <v>29</v>
      </c>
      <c r="Q3" s="3" t="s">
        <v>30</v>
      </c>
      <c r="S3" s="3" t="s">
        <v>31</v>
      </c>
      <c r="T3" s="7">
        <v>1</v>
      </c>
      <c r="V3" s="3" t="s">
        <v>32</v>
      </c>
      <c r="W3" s="6">
        <v>0.6</v>
      </c>
      <c r="Y3" s="3" t="s">
        <v>23</v>
      </c>
      <c r="AA3" s="3" t="s">
        <v>33</v>
      </c>
      <c r="AC3" s="3" t="str">
        <f ca="1">IFERROR(_xlfn.SINGLE(INDEX(#REF!,_xlfn.SINGLE(_xludf.AGGREGATE(15,6,(_xlfn.SINGLE(ROW(#REF!))-ROW(#REF!)+1)/((_xlfn.SINGLE(#REF!)="Freelance")*(_xlfn.SINGLE(#REF!)&lt;&gt;"")),ROWS(AC$3:AC3))))),"")</f>
        <v/>
      </c>
    </row>
    <row r="4" spans="1:29">
      <c r="A4" s="3" t="s">
        <v>36</v>
      </c>
      <c r="C4" s="3" t="s">
        <v>37</v>
      </c>
      <c r="E4" s="3" t="s">
        <v>38</v>
      </c>
      <c r="F4" s="3">
        <v>2</v>
      </c>
      <c r="G4" s="6">
        <v>0.2</v>
      </c>
      <c r="H4" s="6"/>
      <c r="I4" s="3" t="s">
        <v>23</v>
      </c>
      <c r="K4" s="3" t="s">
        <v>39</v>
      </c>
      <c r="M4" s="3" t="s">
        <v>40</v>
      </c>
      <c r="O4" s="3" t="s">
        <v>41</v>
      </c>
      <c r="Q4" s="3" t="s">
        <v>35</v>
      </c>
      <c r="S4" s="3" t="s">
        <v>35</v>
      </c>
      <c r="T4" s="7">
        <v>1.5</v>
      </c>
      <c r="V4" s="3" t="s">
        <v>42</v>
      </c>
      <c r="W4" s="6">
        <v>0.85</v>
      </c>
      <c r="Y4" s="3" t="s">
        <v>43</v>
      </c>
      <c r="AA4" s="3" t="s">
        <v>44</v>
      </c>
      <c r="AC4" s="3" t="str">
        <f ca="1">IFERROR(_xlfn.SINGLE(INDEX(#REF!,_xlfn.SINGLE(_xludf.AGGREGATE(15,6,(_xlfn.SINGLE(ROW(#REF!))-ROW(#REF!)+1)/((_xlfn.SINGLE(#REF!)="Freelance")*(_xlfn.SINGLE(#REF!)&lt;&gt;"")),ROWS(AC$3:AC4))))),"")</f>
        <v/>
      </c>
    </row>
    <row r="5" spans="1:29">
      <c r="A5" s="3" t="s">
        <v>46</v>
      </c>
      <c r="C5" s="3" t="s">
        <v>47</v>
      </c>
      <c r="E5" s="3" t="s">
        <v>48</v>
      </c>
      <c r="F5" s="3">
        <v>3</v>
      </c>
      <c r="G5" s="6">
        <v>0.3</v>
      </c>
      <c r="H5" s="6"/>
      <c r="I5" s="3" t="s">
        <v>49</v>
      </c>
      <c r="K5" s="3" t="s">
        <v>50</v>
      </c>
      <c r="M5" s="3" t="s">
        <v>51</v>
      </c>
      <c r="O5" s="3" t="s">
        <v>52</v>
      </c>
      <c r="Q5" s="3" t="s">
        <v>53</v>
      </c>
      <c r="S5" s="3" t="s">
        <v>24</v>
      </c>
      <c r="T5" s="7">
        <v>2</v>
      </c>
      <c r="V5" s="3" t="s">
        <v>54</v>
      </c>
      <c r="W5" s="6">
        <v>1</v>
      </c>
      <c r="Y5" s="3" t="s">
        <v>55</v>
      </c>
      <c r="AA5" s="3" t="s">
        <v>56</v>
      </c>
      <c r="AC5" s="3" t="str">
        <f ca="1">IFERROR(_xlfn.SINGLE(INDEX(#REF!,_xlfn.SINGLE(_xludf.AGGREGATE(15,6,(_xlfn.SINGLE(ROW(#REF!))-ROW(#REF!)+1)/((_xlfn.SINGLE(#REF!)="Freelance")*(_xlfn.SINGLE(#REF!)&lt;&gt;"")),ROWS(AC$3:AC5))))),"")</f>
        <v/>
      </c>
    </row>
    <row r="6" spans="1:29">
      <c r="A6" s="3" t="s">
        <v>45</v>
      </c>
      <c r="C6" s="3" t="s">
        <v>58</v>
      </c>
      <c r="E6" s="3" t="s">
        <v>59</v>
      </c>
      <c r="F6" s="3">
        <v>4</v>
      </c>
      <c r="G6" s="6">
        <v>0.35</v>
      </c>
      <c r="H6" s="6"/>
      <c r="I6" s="3" t="s">
        <v>60</v>
      </c>
      <c r="K6" s="3" t="s">
        <v>61</v>
      </c>
      <c r="M6" s="3" t="s">
        <v>62</v>
      </c>
      <c r="O6" s="3" t="s">
        <v>63</v>
      </c>
      <c r="V6" s="3" t="s">
        <v>64</v>
      </c>
      <c r="W6" s="6">
        <v>9.99</v>
      </c>
      <c r="AA6" s="3" t="s">
        <v>65</v>
      </c>
      <c r="AC6" s="3" t="str">
        <f ca="1">IFERROR(_xlfn.SINGLE(INDEX(#REF!,_xlfn.SINGLE(_xludf.AGGREGATE(15,6,(_xlfn.SINGLE(ROW(#REF!))-ROW(#REF!)+1)/((_xlfn.SINGLE(#REF!)="Freelance")*(_xlfn.SINGLE(#REF!)&lt;&gt;"")),ROWS(AC$3:AC6))))),"")</f>
        <v/>
      </c>
    </row>
    <row r="7" spans="1:29">
      <c r="A7" s="3" t="s">
        <v>57</v>
      </c>
      <c r="C7" s="3" t="s">
        <v>66</v>
      </c>
      <c r="E7" s="3" t="s">
        <v>67</v>
      </c>
      <c r="F7" s="3">
        <v>5</v>
      </c>
      <c r="G7" s="6">
        <v>0.2</v>
      </c>
      <c r="H7" s="6"/>
      <c r="I7" s="3" t="s">
        <v>68</v>
      </c>
      <c r="K7" s="3" t="s">
        <v>69</v>
      </c>
      <c r="M7" s="3" t="s">
        <v>70</v>
      </c>
      <c r="O7" s="3" t="s">
        <v>71</v>
      </c>
      <c r="AA7" s="3" t="s">
        <v>72</v>
      </c>
      <c r="AC7" s="3" t="str">
        <f ca="1">IFERROR(_xlfn.SINGLE(INDEX(#REF!,_xlfn.SINGLE(_xludf.AGGREGATE(15,6,(_xlfn.SINGLE(ROW(#REF!))-ROW(#REF!)+1)/((_xlfn.SINGLE(#REF!)="Freelance")*(_xlfn.SINGLE(#REF!)&lt;&gt;"")),ROWS(AC$3:AC7))))),"")</f>
        <v/>
      </c>
    </row>
    <row r="8" spans="1:29">
      <c r="A8" s="3" t="s">
        <v>73</v>
      </c>
      <c r="C8" s="3" t="s">
        <v>74</v>
      </c>
      <c r="E8" s="3" t="s">
        <v>75</v>
      </c>
      <c r="F8" s="3">
        <v>6</v>
      </c>
      <c r="G8" s="6">
        <v>0.15</v>
      </c>
      <c r="H8" s="6"/>
      <c r="I8" s="3" t="s">
        <v>76</v>
      </c>
      <c r="K8" s="3" t="s">
        <v>77</v>
      </c>
      <c r="O8" s="3" t="s">
        <v>78</v>
      </c>
      <c r="AA8" s="3" t="s">
        <v>79</v>
      </c>
      <c r="AC8" s="3" t="str">
        <f ca="1">IFERROR(_xlfn.SINGLE(INDEX(#REF!,_xlfn.SINGLE(_xludf.AGGREGATE(15,6,(_xlfn.SINGLE(ROW(#REF!))-ROW(#REF!)+1)/((_xlfn.SINGLE(#REF!)="Freelance")*(_xlfn.SINGLE(#REF!)&lt;&gt;"")),ROWS(AC$3:AC8))))),"")</f>
        <v/>
      </c>
    </row>
    <row r="9" spans="1:29">
      <c r="A9" s="3" t="s">
        <v>80</v>
      </c>
      <c r="C9" s="3" t="s">
        <v>81</v>
      </c>
      <c r="E9" s="3" t="s">
        <v>82</v>
      </c>
      <c r="F9" s="3">
        <v>7</v>
      </c>
      <c r="G9" s="6">
        <v>0.1</v>
      </c>
      <c r="H9" s="6"/>
      <c r="K9" s="3" t="s">
        <v>83</v>
      </c>
      <c r="O9" s="3" t="s">
        <v>84</v>
      </c>
      <c r="AC9" s="3" t="str">
        <f ca="1">IFERROR(_xlfn.SINGLE(INDEX(#REF!,_xlfn.SINGLE(_xludf.AGGREGATE(15,6,(_xlfn.SINGLE(ROW(#REF!))-ROW(#REF!)+1)/((_xlfn.SINGLE(#REF!)="Freelance")*(_xlfn.SINGLE(#REF!)&lt;&gt;"")),ROWS(AC$3:AC9))))),"")</f>
        <v/>
      </c>
    </row>
    <row r="10" spans="1:29">
      <c r="A10" s="3" t="s">
        <v>86</v>
      </c>
      <c r="C10" s="3" t="s">
        <v>87</v>
      </c>
      <c r="G10" s="6"/>
      <c r="H10" s="6"/>
      <c r="O10" s="3" t="s">
        <v>88</v>
      </c>
      <c r="AC10" s="3" t="str">
        <f ca="1">IFERROR(_xlfn.SINGLE(INDEX(#REF!,_xlfn.SINGLE(_xludf.AGGREGATE(15,6,(_xlfn.SINGLE(ROW(#REF!))-ROW(#REF!)+1)/((_xlfn.SINGLE(#REF!)="Freelance")*(_xlfn.SINGLE(#REF!)&lt;&gt;"")),ROWS(AC$3:AC10))))),"")</f>
        <v/>
      </c>
    </row>
    <row r="11" spans="1:29">
      <c r="A11" s="3" t="s">
        <v>85</v>
      </c>
      <c r="C11" s="3" t="s">
        <v>89</v>
      </c>
      <c r="O11" s="3" t="s">
        <v>90</v>
      </c>
      <c r="AC11" s="3" t="str">
        <f ca="1">IFERROR(_xlfn.SINGLE(INDEX(#REF!,_xlfn.SINGLE(_xludf.AGGREGATE(15,6,(_xlfn.SINGLE(ROW(#REF!))-ROW(#REF!)+1)/((_xlfn.SINGLE(#REF!)="Freelance")*(_xlfn.SINGLE(#REF!)&lt;&gt;"")),ROWS(AC$3:AC11))))),"")</f>
        <v/>
      </c>
    </row>
    <row r="12" spans="1:29">
      <c r="A12" s="3" t="s">
        <v>91</v>
      </c>
      <c r="C12" s="3" t="s">
        <v>92</v>
      </c>
      <c r="O12" s="3" t="s">
        <v>93</v>
      </c>
      <c r="AC12" s="3" t="str">
        <f ca="1">IFERROR(_xlfn.SINGLE(INDEX(#REF!,_xlfn.SINGLE(_xludf.AGGREGATE(15,6,(_xlfn.SINGLE(ROW(#REF!))-ROW(#REF!)+1)/((_xlfn.SINGLE(#REF!)="Freelance")*(_xlfn.SINGLE(#REF!)&lt;&gt;"")),ROWS(AC$3:AC12))))),"")</f>
        <v/>
      </c>
    </row>
    <row r="13" spans="1:29">
      <c r="A13" s="3" t="s">
        <v>94</v>
      </c>
      <c r="C13" s="3" t="s">
        <v>95</v>
      </c>
      <c r="O13" s="3" t="s">
        <v>96</v>
      </c>
      <c r="AC13" s="3" t="str">
        <f ca="1">IFERROR(_xlfn.SINGLE(INDEX(#REF!,_xlfn.SINGLE(_xludf.AGGREGATE(15,6,(_xlfn.SINGLE(ROW(#REF!))-ROW(#REF!)+1)/((_xlfn.SINGLE(#REF!)="Freelance")*(_xlfn.SINGLE(#REF!)&lt;&gt;"")),ROWS(AC$3:AC13))))),"")</f>
        <v/>
      </c>
    </row>
    <row r="14" spans="1:29">
      <c r="A14" s="3" t="s">
        <v>97</v>
      </c>
      <c r="O14" s="3" t="s">
        <v>98</v>
      </c>
      <c r="AC14" s="3" t="str">
        <f ca="1">IFERROR(_xlfn.SINGLE(INDEX(#REF!,_xlfn.SINGLE(_xludf.AGGREGATE(15,6,(_xlfn.SINGLE(ROW(#REF!))-ROW(#REF!)+1)/((_xlfn.SINGLE(#REF!)="Freelance")*(_xlfn.SINGLE(#REF!)&lt;&gt;"")),ROWS(AC$3:AC14))))),"")</f>
        <v/>
      </c>
    </row>
    <row r="15" spans="1:29">
      <c r="A15" s="3" t="s">
        <v>99</v>
      </c>
      <c r="AC15" s="3" t="str">
        <f ca="1">IFERROR(_xlfn.SINGLE(INDEX(#REF!,_xlfn.SINGLE(_xludf.AGGREGATE(15,6,(_xlfn.SINGLE(ROW(#REF!))-ROW(#REF!)+1)/((_xlfn.SINGLE(#REF!)="Freelance")*(_xlfn.SINGLE(#REF!)&lt;&gt;"")),ROWS(AC$3:AC15))))),"")</f>
        <v/>
      </c>
    </row>
    <row r="16" spans="1:29">
      <c r="A16" s="3" t="s">
        <v>100</v>
      </c>
      <c r="AC16" s="3" t="str">
        <f ca="1">IFERROR(_xlfn.SINGLE(INDEX(#REF!,_xlfn.SINGLE(_xludf.AGGREGATE(15,6,(_xlfn.SINGLE(ROW(#REF!))-ROW(#REF!)+1)/((_xlfn.SINGLE(#REF!)="Freelance")*(_xlfn.SINGLE(#REF!)&lt;&gt;"")),ROWS(AC$3:AC16))))),"")</f>
        <v/>
      </c>
    </row>
    <row r="17" spans="1:29">
      <c r="A17" s="3" t="s">
        <v>34</v>
      </c>
      <c r="AC17" s="3" t="str">
        <f ca="1">IFERROR(_xlfn.SINGLE(INDEX(#REF!,_xlfn.SINGLE(_xludf.AGGREGATE(15,6,(_xlfn.SINGLE(ROW(#REF!))-ROW(#REF!)+1)/((_xlfn.SINGLE(#REF!)="Freelance")*(_xlfn.SINGLE(#REF!)&lt;&gt;"")),ROWS(AC$3:AC17))))),"")</f>
        <v/>
      </c>
    </row>
    <row r="18" spans="1:29">
      <c r="A18" s="3" t="s">
        <v>101</v>
      </c>
      <c r="AC18" s="3" t="str">
        <f ca="1">IFERROR(_xlfn.SINGLE(INDEX(#REF!,_xlfn.SINGLE(_xludf.AGGREGATE(15,6,(_xlfn.SINGLE(ROW(#REF!))-ROW(#REF!)+1)/((_xlfn.SINGLE(#REF!)="Freelance")*(_xlfn.SINGLE(#REF!)&lt;&gt;"")),ROWS(AC$3:AC18))))),"")</f>
        <v/>
      </c>
    </row>
    <row r="19" spans="1:29">
      <c r="A19" s="3" t="s">
        <v>102</v>
      </c>
      <c r="AC19" s="3" t="str">
        <f ca="1">IFERROR(_xlfn.SINGLE(INDEX(#REF!,_xlfn.SINGLE(_xludf.AGGREGATE(15,6,(_xlfn.SINGLE(ROW(#REF!))-ROW(#REF!)+1)/((_xlfn.SINGLE(#REF!)="Freelance")*(_xlfn.SINGLE(#REF!)&lt;&gt;"")),ROWS(AC$3:AC19))))),"")</f>
        <v/>
      </c>
    </row>
    <row r="20" spans="1:29">
      <c r="A20" s="3" t="s">
        <v>103</v>
      </c>
      <c r="AC20" s="3" t="str">
        <f ca="1">IFERROR(_xlfn.SINGLE(INDEX(#REF!,_xlfn.SINGLE(_xludf.AGGREGATE(15,6,(_xlfn.SINGLE(ROW(#REF!))-ROW(#REF!)+1)/((_xlfn.SINGLE(#REF!)="Freelance")*(_xlfn.SINGLE(#REF!)&lt;&gt;"")),ROWS(AC$3:AC20))))),"")</f>
        <v/>
      </c>
    </row>
    <row r="21" spans="1:29">
      <c r="AC21" s="3" t="str">
        <f ca="1">IFERROR(_xlfn.SINGLE(INDEX(#REF!,_xlfn.SINGLE(_xludf.AGGREGATE(15,6,(_xlfn.SINGLE(ROW(#REF!))-ROW(#REF!)+1)/((_xlfn.SINGLE(#REF!)="Freelance")*(_xlfn.SINGLE(#REF!)&lt;&gt;"")),ROWS(AC$3:AC21))))),"")</f>
        <v/>
      </c>
    </row>
    <row r="22" spans="1:29">
      <c r="AC22" s="3" t="str">
        <f ca="1">IFERROR(_xlfn.SINGLE(INDEX(#REF!,_xlfn.SINGLE(_xludf.AGGREGATE(15,6,(_xlfn.SINGLE(ROW(#REF!))-ROW(#REF!)+1)/((_xlfn.SINGLE(#REF!)="Freelance")*(_xlfn.SINGLE(#REF!)&lt;&gt;"")),ROWS(AC$3:AC22))))),"")</f>
        <v/>
      </c>
    </row>
  </sheetData>
  <mergeCells count="3">
    <mergeCell ref="V1:W1"/>
    <mergeCell ref="S1:T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FF69-F11C-4F13-8C5B-AF32F541A8ED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Heru Ismiraldi</dc:creator>
  <cp:lastModifiedBy>Heru Ismiraldi</cp:lastModifiedBy>
  <dcterms:created xsi:type="dcterms:W3CDTF">2026-09-10T07:46:29Z</dcterms:created>
  <dcterms:modified xsi:type="dcterms:W3CDTF">2026-09-10T07:49:33Z</dcterms:modified>
</cp:coreProperties>
</file>